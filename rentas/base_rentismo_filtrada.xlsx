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d31399b8dceb61e3/Invesigaciones_papers/rentismo/ahumada_otros/Code_roberto/"/>
    </mc:Choice>
  </mc:AlternateContent>
  <xr:revisionPtr revIDLastSave="109" documentId="11_74919D4DC55A02DFE54878D6425DCE3A8740E424" xr6:coauthVersionLast="47" xr6:coauthVersionMax="47" xr10:uidLastSave="{6A4DDB15-2CA6-493C-A660-5C991E1F78CD}"/>
  <bookViews>
    <workbookView xWindow="-108" yWindow="-108" windowWidth="23256" windowHeight="12456" xr2:uid="{00000000-000D-0000-FFFF-FFFF00000000}"/>
  </bookViews>
  <sheets>
    <sheet name="Sheet2" sheetId="2" r:id="rId1"/>
    <sheet name="Sheet1" sheetId="1" r:id="rId2"/>
  </sheets>
  <calcPr calcId="191029"/>
  <pivotCaches>
    <pivotCache cacheId="1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<sst xmlns="http://schemas.openxmlformats.org/spreadsheetml/2006/main" count="1843" uniqueCount="163">
  <si>
    <t>Unnamed: 0.3</t>
  </si>
  <si>
    <t>Unnamed: 0.2</t>
  </si>
  <si>
    <t>Unnamed: 0.1</t>
  </si>
  <si>
    <t>Unnamed: 0</t>
  </si>
  <si>
    <t>Ticker_x</t>
  </si>
  <si>
    <t>Period_End_Date</t>
  </si>
  <si>
    <t>Issuer</t>
  </si>
  <si>
    <t>NAICS_Sector_Name</t>
  </si>
  <si>
    <t>Country_of_Headquarters</t>
  </si>
  <si>
    <t>Net_Income_Before_Taxes</t>
  </si>
  <si>
    <t>Net_Income_After_Taxes</t>
  </si>
  <si>
    <t>Total_Equity</t>
  </si>
  <si>
    <t>ROE</t>
  </si>
  <si>
    <t>ROA</t>
  </si>
  <si>
    <t>Total_Assets,_Reported</t>
  </si>
  <si>
    <t>year</t>
  </si>
  <si>
    <t>contador_x</t>
  </si>
  <si>
    <t>contador_y</t>
  </si>
  <si>
    <t>key2_substring_x</t>
  </si>
  <si>
    <t>Borrower</t>
  </si>
  <si>
    <t>Bono</t>
  </si>
  <si>
    <t>Bono_Chile</t>
  </si>
  <si>
    <t>Note</t>
  </si>
  <si>
    <t>Ticker_y</t>
  </si>
  <si>
    <t>dummy_local</t>
  </si>
  <si>
    <t>dummy_int</t>
  </si>
  <si>
    <t>dummy_bono</t>
  </si>
  <si>
    <t>dummy_bono_chile</t>
  </si>
  <si>
    <t>dummy_note</t>
  </si>
  <si>
    <t>key2_substring_y</t>
  </si>
  <si>
    <t>Issuer_x</t>
  </si>
  <si>
    <t>key2_substring</t>
  </si>
  <si>
    <t>Issuer_y</t>
  </si>
  <si>
    <t>issue_count</t>
  </si>
  <si>
    <t>issued_more_than_once</t>
  </si>
  <si>
    <t>average_total_assets</t>
  </si>
  <si>
    <t>decil</t>
  </si>
  <si>
    <t>dummy_issue</t>
  </si>
  <si>
    <t>Año</t>
  </si>
  <si>
    <t>Period</t>
  </si>
  <si>
    <t>avg_median_roa</t>
  </si>
  <si>
    <t>tipical_profits</t>
  </si>
  <si>
    <t>firm_surplus</t>
  </si>
  <si>
    <t>CENCOSUD.SN</t>
  </si>
  <si>
    <t>Cencosud SA</t>
  </si>
  <si>
    <t>Retail Trade</t>
  </si>
  <si>
    <t>Chile</t>
  </si>
  <si>
    <t>CENC</t>
  </si>
  <si>
    <t>2020-2023</t>
  </si>
  <si>
    <t>FALABELLA.SN</t>
  </si>
  <si>
    <t>Falabella SA</t>
  </si>
  <si>
    <t>FALA</t>
  </si>
  <si>
    <t>FALAB</t>
  </si>
  <si>
    <t>SMU.SN</t>
  </si>
  <si>
    <t>SMU SA</t>
  </si>
  <si>
    <t>SMU.</t>
  </si>
  <si>
    <t>Tanner Servicios Financieros SA</t>
  </si>
  <si>
    <t>INBACT</t>
  </si>
  <si>
    <t>INBA</t>
  </si>
  <si>
    <t>2017-2019</t>
  </si>
  <si>
    <t>INVSEC</t>
  </si>
  <si>
    <t>INVS</t>
  </si>
  <si>
    <t>2013-2016</t>
  </si>
  <si>
    <t>SMU</t>
  </si>
  <si>
    <t>AES Andes SA</t>
  </si>
  <si>
    <t>Utilities</t>
  </si>
  <si>
    <t>AGUASA.SN</t>
  </si>
  <si>
    <t>Aguas Andinas SA</t>
  </si>
  <si>
    <t>AGUA</t>
  </si>
  <si>
    <t>AGUAS</t>
  </si>
  <si>
    <t>COLBUN.SN</t>
  </si>
  <si>
    <t>Colbun SA</t>
  </si>
  <si>
    <t>COLB</t>
  </si>
  <si>
    <t>COLBU</t>
  </si>
  <si>
    <t>ECL.SN</t>
  </si>
  <si>
    <t>ENGIE Energia Chile SA</t>
  </si>
  <si>
    <t>ECL.</t>
  </si>
  <si>
    <t>ECLX</t>
  </si>
  <si>
    <t>ENES.SG^L15</t>
  </si>
  <si>
    <t>Enel Americas SA</t>
  </si>
  <si>
    <t>ENES</t>
  </si>
  <si>
    <t>ENELCHILE.SN</t>
  </si>
  <si>
    <t>Enel Chile SA</t>
  </si>
  <si>
    <t>ENEL</t>
  </si>
  <si>
    <t>ENELGXCH.SN</t>
  </si>
  <si>
    <t>Enel Generacion Chile SA</t>
  </si>
  <si>
    <t>AESEG</t>
  </si>
  <si>
    <t>AESE</t>
  </si>
  <si>
    <t>ENELC</t>
  </si>
  <si>
    <t>ENELA</t>
  </si>
  <si>
    <t>ENELG</t>
  </si>
  <si>
    <t>CAP.SN</t>
  </si>
  <si>
    <t>CAP SA</t>
  </si>
  <si>
    <t>Mining, Quarrying, and Oil and Gas Extraction</t>
  </si>
  <si>
    <t>CAP.</t>
  </si>
  <si>
    <t>CAP</t>
  </si>
  <si>
    <t>Corporacion Nacional del Cobre de Chile</t>
  </si>
  <si>
    <t>COBRE</t>
  </si>
  <si>
    <t>COBR</t>
  </si>
  <si>
    <t>Celulosa Arauco y Constitucion SA</t>
  </si>
  <si>
    <t>Manufacturing</t>
  </si>
  <si>
    <t>CVBJF.PK^H09</t>
  </si>
  <si>
    <t>Compania Cervecerias Unidas SA</t>
  </si>
  <si>
    <t>CVBJ</t>
  </si>
  <si>
    <t>CCU</t>
  </si>
  <si>
    <t>ELECMETAL.SN</t>
  </si>
  <si>
    <t>Compania Electro Metalurgica SA</t>
  </si>
  <si>
    <t>ELEC</t>
  </si>
  <si>
    <t>ANDINAB.SN</t>
  </si>
  <si>
    <t>Embotelladora Andina SA</t>
  </si>
  <si>
    <t>ANDI</t>
  </si>
  <si>
    <t>ANDIN</t>
  </si>
  <si>
    <t>Empresa Nacional del Petroleo</t>
  </si>
  <si>
    <t>ENAP</t>
  </si>
  <si>
    <t>Inversiones CMPC SA</t>
  </si>
  <si>
    <t>CMPCI</t>
  </si>
  <si>
    <t>CMPC</t>
  </si>
  <si>
    <t>Empresas CMPC S.A.</t>
  </si>
  <si>
    <t>MASISA.SN</t>
  </si>
  <si>
    <t>Masisa SA</t>
  </si>
  <si>
    <t>MASI</t>
  </si>
  <si>
    <t>MOLYMET.SN</t>
  </si>
  <si>
    <t>Molibdenos y Metales SA</t>
  </si>
  <si>
    <t>MOLY</t>
  </si>
  <si>
    <t>MOLYM</t>
  </si>
  <si>
    <t>SQMA.SN</t>
  </si>
  <si>
    <t>Sociedad Quimica y Minera de Chile SA</t>
  </si>
  <si>
    <t>SQMA</t>
  </si>
  <si>
    <t>SQM</t>
  </si>
  <si>
    <t>COPXC</t>
  </si>
  <si>
    <t>COPX</t>
  </si>
  <si>
    <t>ELECM</t>
  </si>
  <si>
    <t>MASIZ</t>
  </si>
  <si>
    <t>ENTEL.SN</t>
  </si>
  <si>
    <t>Empresa Nacional de Telecomunicaciones SA</t>
  </si>
  <si>
    <t>Information</t>
  </si>
  <si>
    <t>ENTE</t>
  </si>
  <si>
    <t>ENTEL</t>
  </si>
  <si>
    <t>VAPORES.SN</t>
  </si>
  <si>
    <t>Compania Sud Americana de Vapores SA</t>
  </si>
  <si>
    <t>Transportation and Warehousing</t>
  </si>
  <si>
    <t>VAPO</t>
  </si>
  <si>
    <t>Empresa de los Ferrocarriles del Estado</t>
  </si>
  <si>
    <t>EMDLF</t>
  </si>
  <si>
    <t>EMDL</t>
  </si>
  <si>
    <t>Inversiones Alsacia SA</t>
  </si>
  <si>
    <t>VAPOR</t>
  </si>
  <si>
    <t>GGPSIA</t>
  </si>
  <si>
    <t>GGPS</t>
  </si>
  <si>
    <t>ENJOY.SN</t>
  </si>
  <si>
    <t>Enjoy SA</t>
  </si>
  <si>
    <t>Accommodation and Food Services</t>
  </si>
  <si>
    <t>ENJO</t>
  </si>
  <si>
    <t>ENJOY</t>
  </si>
  <si>
    <t>Row Labels</t>
  </si>
  <si>
    <t>Sum of Net_Income_Before_Taxes</t>
  </si>
  <si>
    <t>Grand Total</t>
  </si>
  <si>
    <t>Column Labels</t>
  </si>
  <si>
    <t>Sum of tipical_profits</t>
  </si>
  <si>
    <t>Average of avg_median_roa</t>
  </si>
  <si>
    <t>Total Sum of Net_Income_Before_Taxes</t>
  </si>
  <si>
    <t>Total Average of avg_median_roa</t>
  </si>
  <si>
    <t>Total Sum of tipical_profits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</si>
</sst>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2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 benjamin mendez lobos" refreshedDate="45721.882141898146" createdVersion="8" refreshedVersion="8" minRefreshableVersion="3" recordCount="296" xr:uid="{71F88CAB-C6F9-43E1-86FC-25AD836895FA}">
  <cacheSource type="worksheet">
    <worksheetSource ref="B1:AR297" sheet="Sheet1"/>
  </cacheSource>
  <cacheFields count="43">
    <cacheField name="Unnamed: 0.3" numFmtId="0">
      <sharedItems containsSemiMixedTypes="0" containsString="0" containsNumber="1" containsInteger="1" minValue="11" maxValue="3003"/>
    </cacheField>
    <cacheField name="Unnamed: 0.2" numFmtId="0">
      <sharedItems containsSemiMixedTypes="0" containsString="0" containsNumber="1" containsInteger="1" minValue="11" maxValue="3003"/>
    </cacheField>
    <cacheField name="Unnamed: 0.1" numFmtId="0">
      <sharedItems containsSemiMixedTypes="0" containsString="0" containsNumber="1" containsInteger="1" minValue="11" maxValue="3003"/>
    </cacheField>
    <cacheField name="Unnamed: 0" numFmtId="0">
      <sharedItems containsSemiMixedTypes="0" containsString="0" containsNumber="1" containsInteger="1" minValue="85" maxValue="18128"/>
    </cacheField>
    <cacheField name="Ticker_x" numFmtId="0">
      <sharedItems containsMixedTypes="1" containsNumber="1" containsInteger="1" minValue="4295863328" maxValue="5000906040"/>
    </cacheField>
    <cacheField name="Period_End_Date" numFmtId="164">
      <sharedItems containsSemiMixedTypes="0" containsNonDate="0" containsDate="1" containsString="0" minDate="2013-12-31T00:00:00" maxDate="2024-01-01T00:00:00"/>
    </cacheField>
    <cacheField name="Issuer" numFmtId="0">
      <sharedItems/>
    </cacheField>
    <cacheField name="NAICS_Sector_Name" numFmtId="0">
      <sharedItems count="7">
        <s v="Utilities"/>
        <s v="Mining, Quarrying, and Oil and Gas Extraction"/>
        <s v="Manufacturing"/>
        <s v="Retail Trade"/>
        <s v="Transportation and Warehousing"/>
        <s v="Information"/>
        <s v="Accommodation and Food Services"/>
      </sharedItems>
    </cacheField>
    <cacheField name="Country_of_Headquarters" numFmtId="0">
      <sharedItems/>
    </cacheField>
    <cacheField name="Net_Income_Before_Taxes" numFmtId="0">
      <sharedItems containsSemiMixedTypes="0" containsString="0" containsNumber="1" minValue="-1064479550.73291" maxValue="5486496000"/>
    </cacheField>
    <cacheField name="Net_Income_After_Taxes" numFmtId="0">
      <sharedItems containsSemiMixedTypes="0" containsString="0" containsNumber="1" minValue="-915499636.39824903" maxValue="5563278000"/>
    </cacheField>
    <cacheField name="Total_Equity" numFmtId="0">
      <sharedItems containsSemiMixedTypes="0" containsString="0" containsNumber="1" minValue="-962.91561243725698" maxValue="14504637000"/>
    </cacheField>
    <cacheField name="ROE" numFmtId="0">
      <sharedItems containsSemiMixedTypes="0" containsString="0" containsNumber="1" minValue="-8.9036359269049008" maxValue="3.2656627969148029"/>
    </cacheField>
    <cacheField name="ROA" numFmtId="0">
      <sharedItems containsSemiMixedTypes="0" containsString="0" containsNumber="1" minValue="-15.239202531820499" maxValue="19.47114658404649"/>
    </cacheField>
    <cacheField name="Total_Assets,_Reported" numFmtId="0">
      <sharedItems containsSemiMixedTypes="0" containsString="0" containsNumber="1" minValue="9.4337116672541406" maxValue="36854680000"/>
    </cacheField>
    <cacheField name="year" numFmtId="0">
      <sharedItems containsSemiMixedTypes="0" containsString="0" containsNumber="1" containsInteger="1" minValue="2013" maxValue="2023"/>
    </cacheField>
    <cacheField name="contador_x" numFmtId="0">
      <sharedItems containsSemiMixedTypes="0" containsString="0" containsNumber="1" containsInteger="1" minValue="0" maxValue="0"/>
    </cacheField>
    <cacheField name="contador_y" numFmtId="0">
      <sharedItems containsSemiMixedTypes="0" containsString="0" containsNumber="1" containsInteger="1" minValue="0" maxValue="0"/>
    </cacheField>
    <cacheField name="key2_substring_x" numFmtId="0">
      <sharedItems containsMixedTypes="1" containsNumber="1" containsInteger="1" minValue="4295" maxValue="5000"/>
    </cacheField>
    <cacheField name="Borrower" numFmtId="0">
      <sharedItems containsMixedTypes="1" containsNumber="1" containsInteger="1" minValue="0" maxValue="0"/>
    </cacheField>
    <cacheField name="Bono" numFmtId="0">
      <sharedItems containsSemiMixedTypes="0" containsString="0" containsNumber="1" containsInteger="1" minValue="0" maxValue="800000000"/>
    </cacheField>
    <cacheField name="Bono_Chile" numFmtId="0">
      <sharedItems containsSemiMixedTypes="0" containsString="0" containsNumber="1" containsInteger="1" minValue="0" maxValue="100000000"/>
    </cacheField>
    <cacheField name="Note" numFmtId="0">
      <sharedItems containsSemiMixedTypes="0" containsString="0" containsNumber="1" containsInteger="1" minValue="0" maxValue="5126920978"/>
    </cacheField>
    <cacheField name="Ticker_y" numFmtId="0">
      <sharedItems containsMixedTypes="1" containsNumber="1" containsInteger="1" minValue="0" maxValue="0"/>
    </cacheField>
    <cacheField name="dummy_local" numFmtId="0">
      <sharedItems containsSemiMixedTypes="0" containsString="0" containsNumber="1" containsInteger="1" minValue="0" maxValue="0"/>
    </cacheField>
    <cacheField name="dummy_int" numFmtId="0">
      <sharedItems containsSemiMixedTypes="0" containsString="0" containsNumber="1" containsInteger="1" minValue="0" maxValue="1"/>
    </cacheField>
    <cacheField name="dummy_bono" numFmtId="0">
      <sharedItems containsSemiMixedTypes="0" containsString="0" containsNumber="1" containsInteger="1" minValue="0" maxValue="1"/>
    </cacheField>
    <cacheField name="dummy_bono_chile" numFmtId="0">
      <sharedItems containsSemiMixedTypes="0" containsString="0" containsNumber="1" containsInteger="1" minValue="0" maxValue="1"/>
    </cacheField>
    <cacheField name="dummy_note" numFmtId="0">
      <sharedItems containsSemiMixedTypes="0" containsString="0" containsNumber="1" containsInteger="1" minValue="0" maxValue="1"/>
    </cacheField>
    <cacheField name="key2_substring_y" numFmtId="0">
      <sharedItems containsMixedTypes="1" containsNumber="1" containsInteger="1" minValue="0" maxValue="0"/>
    </cacheField>
    <cacheField name="Issuer_x" numFmtId="0">
      <sharedItems containsSemiMixedTypes="0" containsString="0" containsNumber="1" containsInteger="1" minValue="0" maxValue="0"/>
    </cacheField>
    <cacheField name="key2_substring" numFmtId="0">
      <sharedItems containsSemiMixedTypes="0" containsString="0" containsNumber="1" containsInteger="1" minValue="0" maxValue="0"/>
    </cacheField>
    <cacheField name="Issuer_y" numFmtId="0">
      <sharedItems containsSemiMixedTypes="0" containsString="0" containsNumber="1" containsInteger="1" minValue="0" maxValue="0"/>
    </cacheField>
    <cacheField name="issue_count" numFmtId="0">
      <sharedItems containsSemiMixedTypes="0" containsString="0" containsNumber="1" containsInteger="1" minValue="1" maxValue="9"/>
    </cacheField>
    <cacheField name="issued_more_than_once" numFmtId="0">
      <sharedItems containsSemiMixedTypes="0" containsString="0" containsNumber="1" containsInteger="1" minValue="1" maxValue="1" count="1">
        <n v="1"/>
      </sharedItems>
    </cacheField>
    <cacheField name="average_total_assets" numFmtId="0">
      <sharedItems containsSemiMixedTypes="0" containsString="0" containsNumber="1" minValue="301.58504834471501" maxValue="27692820849.0909"/>
    </cacheField>
    <cacheField name="decil" numFmtId="0">
      <sharedItems containsSemiMixedTypes="0" containsString="0" containsNumber="1" containsInteger="1" minValue="3" maxValue="10"/>
    </cacheField>
    <cacheField name="dummy_issue" numFmtId="0">
      <sharedItems containsSemiMixedTypes="0" containsString="0" containsNumber="1" containsInteger="1" minValue="1" maxValue="1" count="1">
        <n v="1"/>
      </sharedItems>
    </cacheField>
    <cacheField name="Año" numFmtId="0">
      <sharedItems containsSemiMixedTypes="0" containsString="0" containsNumber="1" containsInteger="1" minValue="2013" maxValue="2023"/>
    </cacheField>
    <cacheField name="Period" numFmtId="0">
      <sharedItems/>
    </cacheField>
    <cacheField name="avg_median_roa" numFmtId="0">
      <sharedItems containsSemiMixedTypes="0" containsString="0" containsNumber="1" minValue="-2.3471768506872281E-2" maxValue="5.573875737993636E-2"/>
    </cacheField>
    <cacheField name="tipical_profits" numFmtId="0">
      <sharedItems containsSemiMixedTypes="0" containsString="0" containsNumber="1" minValue="-47490268.475982733" maxValue="1610753818.583703"/>
    </cacheField>
    <cacheField name="firm_surplus" numFmtId="0">
      <sharedItems containsSemiMixedTypes="0" containsString="0" containsNumber="1" minValue="-1195012526.7159491" maxValue="5117968547.199987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6">
  <r>
    <n v="11"/>
    <n v="11"/>
    <n v="11"/>
    <n v="3430"/>
    <n v="4295863328"/>
    <d v="2023-12-31T00:00:00"/>
    <s v="AES Andes SA"/>
    <x v="0"/>
    <s v="Chile"/>
    <n v="-118.401"/>
    <n v="-136.369"/>
    <n v="681.73900000000003"/>
    <n v="-0.20003109694472521"/>
    <n v="-2.5476589650342121E-2"/>
    <n v="5352.7179999999998"/>
    <n v="2023"/>
    <n v="0"/>
    <n v="0"/>
    <n v="4295"/>
    <n v="0"/>
    <n v="0"/>
    <n v="0"/>
    <n v="0"/>
    <n v="0"/>
    <n v="0"/>
    <n v="0"/>
    <n v="0"/>
    <n v="0"/>
    <n v="0"/>
    <n v="0"/>
    <n v="0"/>
    <n v="0"/>
    <n v="0"/>
    <n v="3"/>
    <x v="0"/>
    <n v="6945.27545454545"/>
    <n v="5"/>
    <x v="0"/>
    <n v="2023"/>
    <s v="2020-2023"/>
    <n v="3.5835499651311283E-2"/>
    <n v="191.81732402256759"/>
    <n v="-310.21832402256757"/>
  </r>
  <r>
    <n v="12"/>
    <n v="12"/>
    <n v="12"/>
    <n v="3431"/>
    <n v="4295863328"/>
    <d v="2022-12-31T00:00:00"/>
    <s v="AES Andes SA"/>
    <x v="0"/>
    <s v="Chile"/>
    <n v="457.86500000000001"/>
    <n v="312.35000000000002"/>
    <n v="1037.627"/>
    <n v="0.30102339279914653"/>
    <n v="5.7703036729687088E-2"/>
    <n v="5413.06"/>
    <n v="2022"/>
    <n v="0"/>
    <n v="0"/>
    <n v="4295"/>
    <n v="0"/>
    <n v="0"/>
    <n v="0"/>
    <n v="0"/>
    <n v="0"/>
    <n v="0"/>
    <n v="0"/>
    <n v="0"/>
    <n v="0"/>
    <n v="0"/>
    <n v="0"/>
    <n v="0"/>
    <n v="0"/>
    <n v="0"/>
    <n v="3"/>
    <x v="0"/>
    <n v="6945.27545454545"/>
    <n v="5"/>
    <x v="0"/>
    <n v="2022"/>
    <s v="2020-2023"/>
    <n v="3.5835499651311283E-2"/>
    <n v="193.97970974252701"/>
    <n v="263.885290257473"/>
  </r>
  <r>
    <n v="13"/>
    <n v="13"/>
    <n v="13"/>
    <n v="3432"/>
    <n v="4295863328"/>
    <d v="2021-12-31T00:00:00"/>
    <s v="AES Andes SA"/>
    <x v="0"/>
    <s v="Chile"/>
    <n v="-1419.7249999999999"/>
    <n v="-1067.7919999999999"/>
    <n v="966.15899999999999"/>
    <n v="-1.1051928305796459"/>
    <n v="-0.23851775672793529"/>
    <n v="4476.7820000000002"/>
    <n v="2021"/>
    <n v="0"/>
    <n v="0"/>
    <n v="4295"/>
    <n v="0"/>
    <n v="0"/>
    <n v="0"/>
    <n v="0"/>
    <n v="0"/>
    <n v="0"/>
    <n v="0"/>
    <n v="0"/>
    <n v="0"/>
    <n v="0"/>
    <n v="0"/>
    <n v="0"/>
    <n v="0"/>
    <n v="0"/>
    <n v="3"/>
    <x v="0"/>
    <n v="6945.27545454545"/>
    <n v="5"/>
    <x v="0"/>
    <n v="2021"/>
    <s v="2020-2023"/>
    <n v="3.5835499651311283E-2"/>
    <n v="160.42771979999659"/>
    <n v="-1580.152719799996"/>
  </r>
  <r>
    <n v="14"/>
    <n v="14"/>
    <n v="14"/>
    <n v="3433"/>
    <n v="4295863328"/>
    <d v="2020-12-31T00:00:00"/>
    <s v="AES Andes SA"/>
    <x v="0"/>
    <s v="Chile"/>
    <n v="-202.63800000000001"/>
    <n v="-171.99600000000001"/>
    <n v="1861.125"/>
    <n v="-9.2415071529316953E-2"/>
    <n v="-2.1181757747469641E-2"/>
    <n v="8120.0060000000003"/>
    <n v="2020"/>
    <n v="0"/>
    <n v="0"/>
    <n v="4295"/>
    <n v="0"/>
    <n v="0"/>
    <n v="0"/>
    <n v="0"/>
    <n v="0"/>
    <n v="0"/>
    <n v="0"/>
    <n v="0"/>
    <n v="0"/>
    <n v="0"/>
    <n v="0"/>
    <n v="0"/>
    <n v="0"/>
    <n v="0"/>
    <n v="3"/>
    <x v="0"/>
    <n v="6945.27545454545"/>
    <n v="5"/>
    <x v="0"/>
    <n v="2020"/>
    <s v="2020-2023"/>
    <n v="3.5835499651311283E-2"/>
    <n v="290.98447218164551"/>
    <n v="-493.62247218164538"/>
  </r>
  <r>
    <n v="15"/>
    <n v="15"/>
    <n v="15"/>
    <n v="3434"/>
    <n v="4295863328"/>
    <d v="2019-12-31T00:00:00"/>
    <s v="AES Andes SA"/>
    <x v="0"/>
    <s v="Chile"/>
    <n v="362.78399999999999"/>
    <n v="250.33"/>
    <n v="2446.5259999999998"/>
    <n v="0.10232059663375739"/>
    <n v="2.9650958950839561E-2"/>
    <n v="8442.56"/>
    <n v="2019"/>
    <n v="0"/>
    <n v="0"/>
    <n v="4295"/>
    <n v="0"/>
    <n v="0"/>
    <n v="0"/>
    <n v="0"/>
    <s v="AESEG"/>
    <n v="0"/>
    <n v="1"/>
    <n v="0"/>
    <n v="0"/>
    <n v="0"/>
    <s v="AESE"/>
    <n v="0"/>
    <n v="0"/>
    <n v="0"/>
    <n v="3"/>
    <x v="0"/>
    <n v="6945.27545454545"/>
    <n v="5"/>
    <x v="0"/>
    <n v="2019"/>
    <s v="2017-2019"/>
    <n v="4.4682896773591482E-2"/>
    <n v="377.23803698485239"/>
    <n v="-14.454036984852451"/>
  </r>
  <r>
    <n v="16"/>
    <n v="16"/>
    <n v="16"/>
    <n v="3435"/>
    <n v="4295863328"/>
    <d v="2018-12-31T00:00:00"/>
    <s v="AES Andes SA"/>
    <x v="0"/>
    <s v="Chile"/>
    <n v="710.33299999999997"/>
    <n v="487.81900000000002"/>
    <n v="2625.3209999999999"/>
    <n v="0.185813087237713"/>
    <n v="6.1989658372515889E-2"/>
    <n v="7869.3609999999999"/>
    <n v="2018"/>
    <n v="0"/>
    <n v="0"/>
    <n v="4295"/>
    <n v="0"/>
    <n v="0"/>
    <n v="0"/>
    <n v="0"/>
    <n v="0"/>
    <n v="0"/>
    <n v="0"/>
    <n v="0"/>
    <n v="0"/>
    <n v="0"/>
    <n v="0"/>
    <n v="0"/>
    <n v="0"/>
    <n v="0"/>
    <n v="3"/>
    <x v="0"/>
    <n v="6945.27545454545"/>
    <n v="5"/>
    <x v="0"/>
    <n v="2018"/>
    <s v="2017-2019"/>
    <n v="4.4682896773591482E-2"/>
    <n v="351.62584523712661"/>
    <n v="358.70715476287342"/>
  </r>
  <r>
    <n v="17"/>
    <n v="17"/>
    <n v="17"/>
    <n v="3436"/>
    <n v="4295863328"/>
    <d v="2017-12-31T00:00:00"/>
    <s v="AES Andes SA"/>
    <x v="0"/>
    <s v="Chile"/>
    <n v="289.51900000000001"/>
    <n v="174.501"/>
    <n v="2593.92"/>
    <n v="6.7273084752035528E-2"/>
    <n v="2.1385432277993829E-2"/>
    <n v="8159.8069999999998"/>
    <n v="2017"/>
    <n v="0"/>
    <n v="0"/>
    <n v="4295"/>
    <n v="0"/>
    <n v="0"/>
    <n v="0"/>
    <n v="0"/>
    <n v="0"/>
    <n v="0"/>
    <n v="0"/>
    <n v="0"/>
    <n v="0"/>
    <n v="0"/>
    <n v="0"/>
    <n v="0"/>
    <n v="0"/>
    <n v="0"/>
    <n v="3"/>
    <x v="0"/>
    <n v="6945.27545454545"/>
    <n v="5"/>
    <x v="0"/>
    <n v="2017"/>
    <s v="2017-2019"/>
    <n v="4.4682896773591482E-2"/>
    <n v="364.60381387342909"/>
    <n v="-75.084813873429141"/>
  </r>
  <r>
    <n v="18"/>
    <n v="18"/>
    <n v="18"/>
    <n v="3437"/>
    <n v="4295863328"/>
    <d v="2016-12-31T00:00:00"/>
    <s v="AES Andes SA"/>
    <x v="0"/>
    <s v="Chile"/>
    <n v="352.23"/>
    <n v="245.4"/>
    <n v="2426.73"/>
    <n v="0.1011237344080306"/>
    <n v="3.1265511719852861E-2"/>
    <n v="7848.9040000000005"/>
    <n v="2016"/>
    <n v="0"/>
    <n v="0"/>
    <n v="4295"/>
    <n v="0"/>
    <n v="0"/>
    <n v="0"/>
    <n v="0"/>
    <n v="0"/>
    <n v="0"/>
    <n v="0"/>
    <n v="0"/>
    <n v="0"/>
    <n v="0"/>
    <n v="0"/>
    <n v="0"/>
    <n v="0"/>
    <n v="0"/>
    <n v="3"/>
    <x v="0"/>
    <n v="6945.27545454545"/>
    <n v="5"/>
    <x v="0"/>
    <n v="2016"/>
    <s v="2013-2016"/>
    <n v="5.573875737993636E-2"/>
    <n v="437.48815575441199"/>
    <n v="-85.25815575441203"/>
  </r>
  <r>
    <n v="19"/>
    <n v="19"/>
    <n v="19"/>
    <n v="3438"/>
    <n v="4295863328"/>
    <d v="2015-12-31T00:00:00"/>
    <s v="AES Andes SA"/>
    <x v="0"/>
    <s v="Chile"/>
    <n v="305.11"/>
    <n v="172.40100000000001"/>
    <n v="2223.444"/>
    <n v="7.7537819706725242E-2"/>
    <n v="2.3661847263112861E-2"/>
    <n v="7286.0330000000004"/>
    <n v="2015"/>
    <n v="0"/>
    <n v="0"/>
    <n v="4295"/>
    <n v="0"/>
    <n v="0"/>
    <n v="0"/>
    <n v="425000000"/>
    <s v="AESEG"/>
    <n v="0"/>
    <n v="1"/>
    <n v="0"/>
    <n v="0"/>
    <n v="1"/>
    <s v="AESE"/>
    <n v="0"/>
    <n v="0"/>
    <n v="0"/>
    <n v="3"/>
    <x v="0"/>
    <n v="6945.27545454545"/>
    <n v="5"/>
    <x v="0"/>
    <n v="2015"/>
    <s v="2013-2016"/>
    <n v="5.573875737993636E-2"/>
    <n v="406.11442564920992"/>
    <n v="-101.00442564920979"/>
  </r>
  <r>
    <n v="20"/>
    <n v="20"/>
    <n v="20"/>
    <n v="3439"/>
    <n v="4295863328"/>
    <d v="2014-12-31T00:00:00"/>
    <s v="AES Andes SA"/>
    <x v="0"/>
    <s v="Chile"/>
    <n v="215.661"/>
    <n v="136.11500000000001"/>
    <n v="2312.5520000000001"/>
    <n v="5.8859217003552788E-2"/>
    <n v="1.9908885566068939E-2"/>
    <n v="6836.8969999999999"/>
    <n v="2014"/>
    <n v="0"/>
    <n v="0"/>
    <n v="4295"/>
    <n v="0"/>
    <n v="0"/>
    <n v="0"/>
    <n v="0"/>
    <n v="0"/>
    <n v="0"/>
    <n v="0"/>
    <n v="0"/>
    <n v="0"/>
    <n v="0"/>
    <n v="0"/>
    <n v="0"/>
    <n v="0"/>
    <n v="0"/>
    <n v="3"/>
    <x v="0"/>
    <n v="6945.27545454545"/>
    <n v="5"/>
    <x v="0"/>
    <n v="2014"/>
    <s v="2013-2016"/>
    <n v="5.573875737993636E-2"/>
    <n v="381.08014311461483"/>
    <n v="-165.4191431146148"/>
  </r>
  <r>
    <n v="21"/>
    <n v="21"/>
    <n v="21"/>
    <n v="3440"/>
    <n v="4295863328"/>
    <d v="2013-12-31T00:00:00"/>
    <s v="AES Andes SA"/>
    <x v="0"/>
    <s v="Chile"/>
    <n v="244.51599999999999"/>
    <n v="159.99100000000001"/>
    <n v="2543.3560000000002"/>
    <n v="6.2905468208147033E-2"/>
    <n v="2.4270840191495571E-2"/>
    <n v="6591.902"/>
    <n v="2013"/>
    <n v="0"/>
    <n v="0"/>
    <n v="4295"/>
    <n v="0"/>
    <n v="0"/>
    <n v="0"/>
    <n v="450000000"/>
    <s v="AESEG"/>
    <n v="0"/>
    <n v="1"/>
    <n v="0"/>
    <n v="0"/>
    <n v="1"/>
    <s v="AESE"/>
    <n v="0"/>
    <n v="0"/>
    <n v="0"/>
    <n v="3"/>
    <x v="0"/>
    <n v="6945.27545454545"/>
    <n v="5"/>
    <x v="0"/>
    <n v="2013"/>
    <s v="2013-2016"/>
    <n v="5.573875737993636E-2"/>
    <n v="367.42442625031731"/>
    <n v="-122.90842625031731"/>
  </r>
  <r>
    <n v="107"/>
    <n v="107"/>
    <n v="107"/>
    <n v="1513"/>
    <s v="AGUASA.SN"/>
    <d v="2023-12-31T00:00:00"/>
    <s v="Aguas Andinas SA"/>
    <x v="0"/>
    <s v="Chile"/>
    <n v="189990180.33568799"/>
    <n v="151482336.64175901"/>
    <n v="1006277487.56501"/>
    <n v="0.15053734035958211"/>
    <n v="5.5044645225159221E-2"/>
    <n v="2751990425.6285601"/>
    <n v="2023"/>
    <n v="0"/>
    <n v="0"/>
    <s v="AGUA"/>
    <n v="0"/>
    <n v="0"/>
    <n v="0"/>
    <n v="0"/>
    <n v="0"/>
    <n v="0"/>
    <n v="0"/>
    <n v="0"/>
    <n v="0"/>
    <n v="0"/>
    <n v="0"/>
    <n v="0"/>
    <n v="0"/>
    <n v="0"/>
    <n v="1"/>
    <x v="0"/>
    <n v="2747816764.4533901"/>
    <n v="9"/>
    <x v="0"/>
    <n v="2023"/>
    <s v="2020-2023"/>
    <n v="3.5835499651311283E-2"/>
    <n v="98618951.938024238"/>
    <n v="91371228.397663757"/>
  </r>
  <r>
    <n v="108"/>
    <n v="108"/>
    <n v="108"/>
    <n v="1514"/>
    <s v="AGUASA.SN"/>
    <d v="2022-12-31T00:00:00"/>
    <s v="Aguas Andinas SA"/>
    <x v="0"/>
    <s v="Chile"/>
    <n v="97514143.665959001"/>
    <n v="100555406.935598"/>
    <n v="989456860.10851598"/>
    <n v="0.1016268732772946"/>
    <n v="3.5829486946003859E-2"/>
    <n v="2806498655.3432398"/>
    <n v="2022"/>
    <n v="0"/>
    <n v="0"/>
    <s v="AGUA"/>
    <n v="0"/>
    <n v="0"/>
    <n v="0"/>
    <n v="48912313"/>
    <s v="AGUAS"/>
    <n v="0"/>
    <n v="1"/>
    <n v="0"/>
    <n v="0"/>
    <n v="1"/>
    <s v="AGUA"/>
    <n v="0"/>
    <n v="0"/>
    <n v="0"/>
    <n v="1"/>
    <x v="0"/>
    <n v="2747816764.4533901"/>
    <n v="9"/>
    <x v="0"/>
    <n v="2022"/>
    <s v="2020-2023"/>
    <n v="3.5835499651311283E-2"/>
    <n v="100572281.5849582"/>
    <n v="-3058137.9189992398"/>
  </r>
  <r>
    <n v="109"/>
    <n v="109"/>
    <n v="109"/>
    <n v="1515"/>
    <s v="AGUASA.SN"/>
    <d v="2021-12-31T00:00:00"/>
    <s v="Aguas Andinas SA"/>
    <x v="0"/>
    <s v="Chile"/>
    <n v="141357560.803666"/>
    <n v="118254651.627306"/>
    <n v="989919181.05980504"/>
    <n v="0.1194588951198045"/>
    <n v="4.5148734225665572E-2"/>
    <n v="2619224074.72682"/>
    <n v="2021"/>
    <n v="0"/>
    <n v="0"/>
    <s v="AGUA"/>
    <n v="0"/>
    <n v="0"/>
    <n v="0"/>
    <n v="0"/>
    <n v="0"/>
    <n v="0"/>
    <n v="0"/>
    <n v="0"/>
    <n v="0"/>
    <n v="0"/>
    <n v="0"/>
    <n v="0"/>
    <n v="0"/>
    <n v="0"/>
    <n v="1"/>
    <x v="0"/>
    <n v="2747816764.4533901"/>
    <n v="9"/>
    <x v="0"/>
    <n v="2021"/>
    <s v="2020-2023"/>
    <n v="3.5835499651311283E-2"/>
    <n v="93861203.416579053"/>
    <n v="47496357.387086943"/>
  </r>
  <r>
    <n v="110"/>
    <n v="110"/>
    <n v="110"/>
    <n v="1516"/>
    <s v="AGUASA.SN"/>
    <d v="2020-12-31T00:00:00"/>
    <s v="Aguas Andinas SA"/>
    <x v="0"/>
    <s v="Chile"/>
    <n v="162989265.23423699"/>
    <n v="124965201.831631"/>
    <n v="1184534331.8069699"/>
    <n v="0.1054973236959713"/>
    <n v="4.1360074078351607E-2"/>
    <n v="3021396953.8569899"/>
    <n v="2020"/>
    <n v="0"/>
    <n v="0"/>
    <s v="AGUA"/>
    <n v="0"/>
    <n v="0"/>
    <n v="0"/>
    <n v="0"/>
    <n v="0"/>
    <n v="0"/>
    <n v="0"/>
    <n v="0"/>
    <n v="0"/>
    <n v="0"/>
    <n v="0"/>
    <n v="0"/>
    <n v="0"/>
    <n v="0"/>
    <n v="1"/>
    <x v="0"/>
    <n v="2747816764.4533901"/>
    <n v="9"/>
    <x v="0"/>
    <n v="2020"/>
    <s v="2020-2023"/>
    <n v="3.5835499651311283E-2"/>
    <n v="108273269.4864151"/>
    <n v="54715995.747821882"/>
  </r>
  <r>
    <n v="111"/>
    <n v="111"/>
    <n v="111"/>
    <n v="1517"/>
    <s v="AGUASA.SN"/>
    <d v="2019-12-31T00:00:00"/>
    <s v="Aguas Andinas SA"/>
    <x v="0"/>
    <s v="Chile"/>
    <n v="255585945.44244799"/>
    <n v="189914570.85828301"/>
    <n v="857556000"/>
    <n v="0.2214602554915166"/>
    <n v="7.130890420352029E-2"/>
    <n v="2663265870.9248199"/>
    <n v="2019"/>
    <n v="0"/>
    <n v="0"/>
    <s v="AGUA"/>
    <n v="0"/>
    <n v="0"/>
    <n v="0"/>
    <n v="0"/>
    <n v="0"/>
    <n v="0"/>
    <n v="0"/>
    <n v="0"/>
    <n v="0"/>
    <n v="0"/>
    <n v="0"/>
    <n v="0"/>
    <n v="0"/>
    <n v="0"/>
    <n v="1"/>
    <x v="0"/>
    <n v="2747816764.4533901"/>
    <n v="9"/>
    <x v="0"/>
    <n v="2019"/>
    <s v="2017-2019"/>
    <n v="4.4682896773591482E-2"/>
    <n v="119002433.9911629"/>
    <n v="136583511.45128509"/>
  </r>
  <r>
    <n v="112"/>
    <n v="112"/>
    <n v="112"/>
    <n v="1518"/>
    <s v="AGUASA.SN"/>
    <d v="2018-12-31T00:00:00"/>
    <s v="Aguas Andinas SA"/>
    <x v="0"/>
    <s v="Chile"/>
    <n v="268203474.05643401"/>
    <n v="201080111.13516599"/>
    <n v="921730035.36118901"/>
    <n v="0.2181551033610083"/>
    <n v="7.3092626939784341E-2"/>
    <n v="2751031390.6328902"/>
    <n v="2018"/>
    <n v="0"/>
    <n v="0"/>
    <s v="AGUA"/>
    <n v="0"/>
    <n v="0"/>
    <n v="0"/>
    <n v="0"/>
    <n v="0"/>
    <n v="0"/>
    <n v="0"/>
    <n v="0"/>
    <n v="0"/>
    <n v="0"/>
    <n v="0"/>
    <n v="0"/>
    <n v="0"/>
    <n v="0"/>
    <n v="1"/>
    <x v="0"/>
    <n v="2747816764.4533901"/>
    <n v="9"/>
    <x v="0"/>
    <n v="2018"/>
    <s v="2017-2019"/>
    <n v="4.4682896773591482E-2"/>
    <n v="122924051.6485592"/>
    <n v="145279422.40787479"/>
  </r>
  <r>
    <n v="113"/>
    <n v="113"/>
    <n v="113"/>
    <n v="1519"/>
    <s v="AGUASA.SN"/>
    <d v="2017-12-31T00:00:00"/>
    <s v="Aguas Andinas SA"/>
    <x v="0"/>
    <s v="Chile"/>
    <n v="308830843.569511"/>
    <n v="233437326.934028"/>
    <n v="1045523104.20565"/>
    <n v="0.2232732361389422"/>
    <n v="7.9850764736819582E-2"/>
    <n v="2923420053.6890898"/>
    <n v="2017"/>
    <n v="0"/>
    <n v="0"/>
    <s v="AGUA"/>
    <n v="0"/>
    <n v="0"/>
    <n v="0"/>
    <n v="0"/>
    <n v="0"/>
    <n v="0"/>
    <n v="0"/>
    <n v="0"/>
    <n v="0"/>
    <n v="0"/>
    <n v="0"/>
    <n v="0"/>
    <n v="0"/>
    <n v="0"/>
    <n v="1"/>
    <x v="0"/>
    <n v="2747816764.4533901"/>
    <n v="9"/>
    <x v="0"/>
    <n v="2017"/>
    <s v="2017-2019"/>
    <n v="4.4682896773591482E-2"/>
    <n v="130626876.4848368"/>
    <n v="178203967.08467409"/>
  </r>
  <r>
    <n v="114"/>
    <n v="114"/>
    <n v="114"/>
    <n v="1520"/>
    <s v="AGUASA.SN"/>
    <d v="2016-12-31T00:00:00"/>
    <s v="Aguas Andinas SA"/>
    <x v="0"/>
    <s v="Chile"/>
    <n v="296254121.53177202"/>
    <n v="231345842.609332"/>
    <n v="947507328.66171598"/>
    <n v="0.2441625891549471"/>
    <n v="8.7388975462561011E-2"/>
    <n v="2647311533.1171799"/>
    <n v="2016"/>
    <n v="0"/>
    <n v="0"/>
    <s v="AGUA"/>
    <n v="0"/>
    <n v="0"/>
    <n v="0"/>
    <n v="0"/>
    <n v="0"/>
    <n v="0"/>
    <n v="0"/>
    <n v="0"/>
    <n v="0"/>
    <n v="0"/>
    <n v="0"/>
    <n v="0"/>
    <n v="0"/>
    <n v="0"/>
    <n v="1"/>
    <x v="0"/>
    <n v="2747816764.4533901"/>
    <n v="9"/>
    <x v="0"/>
    <n v="2016"/>
    <s v="2013-2016"/>
    <n v="5.573875737993636E-2"/>
    <n v="147557855.25352591"/>
    <n v="148696266.27824619"/>
  </r>
  <r>
    <n v="115"/>
    <n v="115"/>
    <n v="115"/>
    <n v="1521"/>
    <s v="AGUASA.SN"/>
    <d v="2015-12-31T00:00:00"/>
    <s v="Aguas Andinas SA"/>
    <x v="0"/>
    <s v="Chile"/>
    <n v="235032255.42134601"/>
    <n v="187446292.29356501"/>
    <n v="871930461.255916"/>
    <n v="0.2149784881050836"/>
    <n v="7.8455550399919693E-2"/>
    <n v="2389203712.65099"/>
    <n v="2015"/>
    <n v="0"/>
    <n v="0"/>
    <s v="AGUA"/>
    <n v="0"/>
    <n v="0"/>
    <n v="0"/>
    <n v="0"/>
    <n v="0"/>
    <n v="0"/>
    <n v="0"/>
    <n v="0"/>
    <n v="0"/>
    <n v="0"/>
    <n v="0"/>
    <n v="0"/>
    <n v="0"/>
    <n v="0"/>
    <n v="1"/>
    <x v="0"/>
    <n v="2747816764.4533901"/>
    <n v="9"/>
    <x v="0"/>
    <n v="2015"/>
    <s v="2013-2016"/>
    <n v="5.573875737993636E-2"/>
    <n v="133171246.0706967"/>
    <n v="101861009.3506493"/>
  </r>
  <r>
    <n v="116"/>
    <n v="116"/>
    <n v="116"/>
    <n v="1522"/>
    <s v="AGUASA.SN"/>
    <d v="2014-12-31T00:00:00"/>
    <s v="Aguas Andinas SA"/>
    <x v="0"/>
    <s v="Chile"/>
    <n v="244237602.242744"/>
    <n v="202936193.931398"/>
    <n v="1007195941.62269"/>
    <n v="0.20148631020538879"/>
    <n v="7.6602976366542994E-2"/>
    <n v="2649194633.9050102"/>
    <n v="2014"/>
    <n v="0"/>
    <n v="0"/>
    <s v="AGUA"/>
    <n v="0"/>
    <n v="0"/>
    <n v="0"/>
    <n v="0"/>
    <n v="0"/>
    <n v="0"/>
    <n v="0"/>
    <n v="0"/>
    <n v="0"/>
    <n v="0"/>
    <n v="0"/>
    <n v="0"/>
    <n v="0"/>
    <n v="0"/>
    <n v="1"/>
    <x v="0"/>
    <n v="2747816764.4533901"/>
    <n v="9"/>
    <x v="0"/>
    <n v="2014"/>
    <s v="2013-2016"/>
    <n v="5.573875737993636E-2"/>
    <n v="147662816.95146069"/>
    <n v="96574785.291283309"/>
  </r>
  <r>
    <n v="117"/>
    <n v="117"/>
    <n v="117"/>
    <n v="1523"/>
    <s v="AGUASA.SN"/>
    <d v="2013-12-31T00:00:00"/>
    <s v="Aguas Andinas SA"/>
    <x v="0"/>
    <s v="Chile"/>
    <n v="283686897.01123202"/>
    <n v="227887148.29621199"/>
    <n v="1173693295.25985"/>
    <n v="0.1941624351238701"/>
    <n v="7.5875199517875663E-2"/>
    <n v="3003447104.5117102"/>
    <n v="2013"/>
    <n v="0"/>
    <n v="0"/>
    <s v="AGUA"/>
    <n v="0"/>
    <n v="0"/>
    <n v="0"/>
    <n v="0"/>
    <n v="0"/>
    <n v="0"/>
    <n v="0"/>
    <n v="0"/>
    <n v="0"/>
    <n v="0"/>
    <n v="0"/>
    <n v="0"/>
    <n v="0"/>
    <n v="0"/>
    <n v="1"/>
    <x v="0"/>
    <n v="2747816764.4533901"/>
    <n v="9"/>
    <x v="0"/>
    <n v="2013"/>
    <s v="2013-2016"/>
    <n v="5.573875737993636E-2"/>
    <n v="167408409.46185061"/>
    <n v="116278487.54938141"/>
  </r>
  <r>
    <n v="425"/>
    <n v="425"/>
    <n v="425"/>
    <n v="2214"/>
    <s v="CAP.SN"/>
    <d v="2023-12-31T00:00:00"/>
    <s v="CAP SA"/>
    <x v="1"/>
    <s v="Chile"/>
    <n v="234488000"/>
    <n v="87971000"/>
    <n v="2266167000"/>
    <n v="3.88192926646624E-2"/>
    <n v="1.2555555238391559E-2"/>
    <n v="7006540000"/>
    <n v="2023"/>
    <n v="0"/>
    <n v="0"/>
    <s v="CAP."/>
    <n v="0"/>
    <n v="0"/>
    <n v="0"/>
    <n v="0"/>
    <n v="0"/>
    <n v="0"/>
    <n v="0"/>
    <n v="0"/>
    <n v="0"/>
    <n v="0"/>
    <n v="0"/>
    <n v="0"/>
    <n v="0"/>
    <n v="0"/>
    <n v="1"/>
    <x v="0"/>
    <n v="5930517636.3636303"/>
    <n v="10"/>
    <x v="0"/>
    <n v="2023"/>
    <s v="2020-2023"/>
    <n v="-3.8963866899207919E-3"/>
    <n v="-27300189.198397629"/>
    <n v="261788189.19839761"/>
  </r>
  <r>
    <n v="426"/>
    <n v="426"/>
    <n v="426"/>
    <n v="2215"/>
    <s v="CAP.SN"/>
    <d v="2022-12-31T00:00:00"/>
    <s v="CAP SA"/>
    <x v="1"/>
    <s v="Chile"/>
    <n v="509517000"/>
    <n v="334999000"/>
    <n v="2277312000"/>
    <n v="0.14710281243852399"/>
    <n v="5.1053573646523812E-2"/>
    <n v="6561715000"/>
    <n v="2022"/>
    <n v="0"/>
    <n v="0"/>
    <s v="CAP."/>
    <n v="0"/>
    <n v="0"/>
    <n v="0"/>
    <n v="0"/>
    <n v="0"/>
    <n v="0"/>
    <n v="0"/>
    <n v="0"/>
    <n v="0"/>
    <n v="0"/>
    <n v="0"/>
    <n v="0"/>
    <n v="0"/>
    <n v="0"/>
    <n v="1"/>
    <x v="0"/>
    <n v="5930517636.3636303"/>
    <n v="10"/>
    <x v="0"/>
    <n v="2022"/>
    <s v="2020-2023"/>
    <n v="-3.8963866899207919E-3"/>
    <n v="-25566978.989053611"/>
    <n v="535083978.98905361"/>
  </r>
  <r>
    <n v="427"/>
    <n v="427"/>
    <n v="427"/>
    <n v="2216"/>
    <s v="CAP.SN"/>
    <d v="2021-12-31T00:00:00"/>
    <s v="CAP SA"/>
    <x v="1"/>
    <s v="Chile"/>
    <n v="1474030000"/>
    <n v="993164000"/>
    <n v="2242713000"/>
    <n v="0.44284043477698659"/>
    <n v="0.15019852270194131"/>
    <n v="6612342000"/>
    <n v="2021"/>
    <n v="0"/>
    <n v="0"/>
    <s v="CAP."/>
    <n v="0"/>
    <n v="0"/>
    <n v="0"/>
    <n v="300000000"/>
    <s v="CAP"/>
    <n v="0"/>
    <n v="1"/>
    <n v="0"/>
    <n v="0"/>
    <n v="1"/>
    <s v="CAP"/>
    <n v="0"/>
    <n v="0"/>
    <n v="0"/>
    <n v="1"/>
    <x v="0"/>
    <n v="5930517636.3636303"/>
    <n v="10"/>
    <x v="0"/>
    <n v="2021"/>
    <s v="2020-2023"/>
    <n v="-3.8963866899207919E-3"/>
    <n v="-25764241.358004231"/>
    <n v="1499794241.3580041"/>
  </r>
  <r>
    <n v="428"/>
    <n v="428"/>
    <n v="428"/>
    <n v="2217"/>
    <s v="CAP.SN"/>
    <d v="2020-12-31T00:00:00"/>
    <s v="CAP SA"/>
    <x v="1"/>
    <s v="Chile"/>
    <n v="620813000"/>
    <n v="432039000"/>
    <n v="2060460000"/>
    <n v="0.20968084796598821"/>
    <n v="7.3113004393999523E-2"/>
    <n v="5909195000"/>
    <n v="2020"/>
    <n v="0"/>
    <n v="0"/>
    <s v="CAP."/>
    <n v="0"/>
    <n v="0"/>
    <n v="0"/>
    <n v="0"/>
    <n v="0"/>
    <n v="0"/>
    <n v="0"/>
    <n v="0"/>
    <n v="0"/>
    <n v="0"/>
    <n v="0"/>
    <n v="0"/>
    <n v="0"/>
    <n v="0"/>
    <n v="1"/>
    <x v="0"/>
    <n v="5930517636.3636303"/>
    <n v="10"/>
    <x v="0"/>
    <n v="2020"/>
    <s v="2020-2023"/>
    <n v="-3.8963866899207919E-3"/>
    <n v="-23024508.7461465"/>
    <n v="643837508.74614644"/>
  </r>
  <r>
    <n v="429"/>
    <n v="429"/>
    <n v="429"/>
    <n v="2218"/>
    <s v="CAP.SN"/>
    <d v="2019-12-31T00:00:00"/>
    <s v="CAP SA"/>
    <x v="1"/>
    <s v="Chile"/>
    <n v="-120761000"/>
    <n v="-89380000"/>
    <n v="1920154000"/>
    <n v="-4.6548349767779038E-2"/>
    <n v="-1.631398488884752E-2"/>
    <n v="5478735000"/>
    <n v="2019"/>
    <n v="0"/>
    <n v="0"/>
    <s v="CAP."/>
    <n v="0"/>
    <n v="0"/>
    <n v="0"/>
    <n v="0"/>
    <n v="0"/>
    <n v="0"/>
    <n v="0"/>
    <n v="0"/>
    <n v="0"/>
    <n v="0"/>
    <n v="0"/>
    <n v="0"/>
    <n v="0"/>
    <n v="0"/>
    <n v="1"/>
    <x v="0"/>
    <n v="5930517636.3636303"/>
    <n v="10"/>
    <x v="0"/>
    <n v="2019"/>
    <s v="2017-2019"/>
    <n v="-8.5563410842011498E-3"/>
    <n v="-46877925.369950794"/>
    <n v="-73883074.630049214"/>
  </r>
  <r>
    <n v="430"/>
    <n v="430"/>
    <n v="430"/>
    <n v="2219"/>
    <s v="CAP.SN"/>
    <d v="2018-12-31T00:00:00"/>
    <s v="CAP SA"/>
    <x v="1"/>
    <s v="Chile"/>
    <n v="253006000"/>
    <n v="174466000"/>
    <n v="2027265000"/>
    <n v="8.6059789913997431E-2"/>
    <n v="3.2662452482783343E-2"/>
    <n v="5341485000"/>
    <n v="2018"/>
    <n v="0"/>
    <n v="0"/>
    <s v="CAP."/>
    <n v="0"/>
    <n v="0"/>
    <n v="0"/>
    <n v="0"/>
    <n v="0"/>
    <n v="0"/>
    <n v="0"/>
    <n v="0"/>
    <n v="0"/>
    <n v="0"/>
    <n v="0"/>
    <n v="0"/>
    <n v="0"/>
    <n v="0"/>
    <n v="1"/>
    <x v="0"/>
    <n v="5930517636.3636303"/>
    <n v="10"/>
    <x v="0"/>
    <n v="2018"/>
    <s v="2017-2019"/>
    <n v="-8.5563410842011498E-3"/>
    <n v="-45703567.556144178"/>
    <n v="298709567.55614418"/>
  </r>
  <r>
    <n v="431"/>
    <n v="431"/>
    <n v="431"/>
    <n v="2220"/>
    <s v="CAP.SN"/>
    <d v="2017-12-31T00:00:00"/>
    <s v="CAP SA"/>
    <x v="1"/>
    <s v="Chile"/>
    <n v="279999000"/>
    <n v="192093000"/>
    <n v="1966786000"/>
    <n v="9.7668480454914774E-2"/>
    <n v="3.4609474333013653E-2"/>
    <n v="5550301000"/>
    <n v="2017"/>
    <n v="0"/>
    <n v="0"/>
    <s v="CAP."/>
    <n v="0"/>
    <n v="0"/>
    <n v="0"/>
    <n v="0"/>
    <n v="0"/>
    <n v="0"/>
    <n v="0"/>
    <n v="0"/>
    <n v="0"/>
    <n v="0"/>
    <n v="0"/>
    <n v="0"/>
    <n v="0"/>
    <n v="0"/>
    <n v="1"/>
    <x v="0"/>
    <n v="5930517636.3636303"/>
    <n v="10"/>
    <x v="0"/>
    <n v="2017"/>
    <s v="2017-2019"/>
    <n v="-8.5563410842011498E-3"/>
    <n v="-47490268.475982733"/>
    <n v="327489268.47598273"/>
  </r>
  <r>
    <n v="432"/>
    <n v="432"/>
    <n v="432"/>
    <n v="2221"/>
    <s v="CAP.SN"/>
    <d v="2016-12-31T00:00:00"/>
    <s v="CAP SA"/>
    <x v="1"/>
    <s v="Chile"/>
    <n v="148005000"/>
    <n v="98702000"/>
    <n v="1900289000"/>
    <n v="5.194052062607319E-2"/>
    <n v="1.753037693454091E-2"/>
    <n v="5630341000"/>
    <n v="2016"/>
    <n v="0"/>
    <n v="0"/>
    <s v="CAP."/>
    <n v="0"/>
    <n v="0"/>
    <n v="0"/>
    <n v="0"/>
    <n v="0"/>
    <n v="0"/>
    <n v="0"/>
    <n v="0"/>
    <n v="0"/>
    <n v="0"/>
    <n v="0"/>
    <n v="0"/>
    <n v="0"/>
    <n v="0"/>
    <n v="1"/>
    <x v="0"/>
    <n v="5930517636.3636303"/>
    <n v="10"/>
    <x v="0"/>
    <n v="2016"/>
    <s v="2013-2016"/>
    <n v="1.8725788236665511E-4"/>
    <n v="1054325.732662156"/>
    <n v="146950674.26733789"/>
  </r>
  <r>
    <n v="433"/>
    <n v="433"/>
    <n v="433"/>
    <n v="2222"/>
    <s v="CAP.SN"/>
    <d v="2015-12-31T00:00:00"/>
    <s v="CAP SA"/>
    <x v="1"/>
    <s v="Chile"/>
    <n v="26856000"/>
    <n v="12063000"/>
    <n v="1851191000"/>
    <n v="6.5163454230276613E-3"/>
    <n v="2.1131494019224878E-3"/>
    <n v="5708541000"/>
    <n v="2015"/>
    <n v="0"/>
    <n v="0"/>
    <s v="CAP."/>
    <n v="0"/>
    <n v="0"/>
    <n v="0"/>
    <n v="0"/>
    <n v="0"/>
    <n v="0"/>
    <n v="0"/>
    <n v="0"/>
    <n v="0"/>
    <n v="0"/>
    <n v="0"/>
    <n v="0"/>
    <n v="0"/>
    <n v="0"/>
    <n v="1"/>
    <x v="0"/>
    <n v="5930517636.3636303"/>
    <n v="10"/>
    <x v="0"/>
    <n v="2015"/>
    <s v="2013-2016"/>
    <n v="1.8725788236665511E-4"/>
    <n v="1068969.2990632281"/>
    <n v="25787030.700936768"/>
  </r>
  <r>
    <n v="434"/>
    <n v="434"/>
    <n v="434"/>
    <n v="2223"/>
    <s v="CAP.SN"/>
    <d v="2014-12-31T00:00:00"/>
    <s v="CAP SA"/>
    <x v="1"/>
    <s v="Chile"/>
    <n v="106023000"/>
    <n v="84708000"/>
    <n v="1853314000"/>
    <n v="4.5706232187314177E-2"/>
    <n v="1.4744629553976169E-2"/>
    <n v="5745007000"/>
    <n v="2014"/>
    <n v="0"/>
    <n v="0"/>
    <s v="CAP."/>
    <n v="0"/>
    <n v="0"/>
    <n v="0"/>
    <n v="0"/>
    <n v="0"/>
    <n v="0"/>
    <n v="0"/>
    <n v="0"/>
    <n v="0"/>
    <n v="0"/>
    <n v="0"/>
    <n v="0"/>
    <n v="0"/>
    <n v="0"/>
    <n v="1"/>
    <x v="0"/>
    <n v="5930517636.3636303"/>
    <n v="10"/>
    <x v="0"/>
    <n v="2014"/>
    <s v="2013-2016"/>
    <n v="1.8725788236665511E-4"/>
    <n v="1075797.84500161"/>
    <n v="104947202.15499841"/>
  </r>
  <r>
    <n v="435"/>
    <n v="435"/>
    <n v="435"/>
    <n v="2224"/>
    <s v="CAP.SN"/>
    <d v="2013-12-31T00:00:00"/>
    <s v="CAP SA"/>
    <x v="1"/>
    <s v="Chile"/>
    <n v="405435000"/>
    <n v="282238000"/>
    <n v="1922931000"/>
    <n v="0.14677489727920551"/>
    <n v="4.9589457386569287E-2"/>
    <n v="5691492000"/>
    <n v="2013"/>
    <n v="0"/>
    <n v="0"/>
    <s v="CAP."/>
    <n v="0"/>
    <n v="0"/>
    <n v="0"/>
    <n v="0"/>
    <n v="0"/>
    <n v="0"/>
    <n v="0"/>
    <n v="0"/>
    <n v="0"/>
    <n v="0"/>
    <n v="0"/>
    <n v="0"/>
    <n v="0"/>
    <n v="0"/>
    <n v="1"/>
    <x v="0"/>
    <n v="5930517636.3636303"/>
    <n v="10"/>
    <x v="0"/>
    <n v="2013"/>
    <s v="2013-2016"/>
    <n v="1.8725788236665511E-4"/>
    <n v="1065776.7394267591"/>
    <n v="404369223.26057333"/>
  </r>
  <r>
    <n v="494"/>
    <n v="494"/>
    <n v="494"/>
    <n v="5488"/>
    <n v="4296456769"/>
    <d v="2023-12-31T00:00:00"/>
    <s v="Celulosa Arauco y Constitucion SA"/>
    <x v="2"/>
    <s v="Chile"/>
    <n v="-393.529"/>
    <n v="-366.23599999999999"/>
    <n v="8002.4459999999999"/>
    <n v="-4.5765507196174768E-2"/>
    <n v="-2.04482722964201E-2"/>
    <n v="17910.364000000001"/>
    <n v="2023"/>
    <n v="0"/>
    <n v="0"/>
    <n v="4296"/>
    <n v="0"/>
    <n v="0"/>
    <n v="0"/>
    <n v="0"/>
    <n v="0"/>
    <n v="0"/>
    <n v="0"/>
    <n v="0"/>
    <n v="0"/>
    <n v="0"/>
    <n v="0"/>
    <n v="0"/>
    <n v="0"/>
    <n v="0"/>
    <n v="4"/>
    <x v="0"/>
    <n v="15377.576727272701"/>
    <n v="5"/>
    <x v="0"/>
    <n v="2023"/>
    <s v="2020-2023"/>
    <n v="3.4062668681992411E-2"/>
    <n v="610.07479490588435"/>
    <n v="-1003.603794905884"/>
  </r>
  <r>
    <n v="495"/>
    <n v="495"/>
    <n v="495"/>
    <n v="5489"/>
    <n v="4296456769"/>
    <d v="2022-12-31T00:00:00"/>
    <s v="Celulosa Arauco y Constitucion SA"/>
    <x v="2"/>
    <s v="Chile"/>
    <n v="812.66300000000001"/>
    <n v="670.54200000000003"/>
    <n v="8254.7950000000001"/>
    <n v="8.1230605969015587E-2"/>
    <n v="3.903013880937186E-2"/>
    <n v="17180.108"/>
    <n v="2022"/>
    <n v="0"/>
    <n v="0"/>
    <n v="4296"/>
    <n v="0"/>
    <n v="0"/>
    <n v="0"/>
    <n v="0"/>
    <n v="0"/>
    <n v="0"/>
    <n v="0"/>
    <n v="0"/>
    <n v="0"/>
    <n v="0"/>
    <n v="0"/>
    <n v="0"/>
    <n v="0"/>
    <n v="0"/>
    <n v="4"/>
    <x v="0"/>
    <n v="15377.576727272701"/>
    <n v="5"/>
    <x v="0"/>
    <n v="2022"/>
    <s v="2020-2023"/>
    <n v="3.4062668681992411E-2"/>
    <n v="585.20032672484729"/>
    <n v="227.4626732751527"/>
  </r>
  <r>
    <n v="496"/>
    <n v="496"/>
    <n v="496"/>
    <n v="5490"/>
    <n v="4296456769"/>
    <d v="2021-12-31T00:00:00"/>
    <s v="Celulosa Arauco y Constitucion SA"/>
    <x v="2"/>
    <s v="Chile"/>
    <n v="1403.127"/>
    <n v="1000.213"/>
    <n v="7810.7330000000002"/>
    <n v="0.1280562272452534"/>
    <n v="6.0006859723219702E-2"/>
    <n v="16668.311000000002"/>
    <n v="2021"/>
    <n v="0"/>
    <n v="0"/>
    <n v="4296"/>
    <n v="0"/>
    <n v="0"/>
    <n v="0"/>
    <n v="0"/>
    <n v="0"/>
    <n v="0"/>
    <n v="0"/>
    <n v="0"/>
    <n v="0"/>
    <n v="0"/>
    <n v="0"/>
    <n v="0"/>
    <n v="0"/>
    <n v="0"/>
    <n v="4"/>
    <x v="0"/>
    <n v="15377.576727272701"/>
    <n v="5"/>
    <x v="0"/>
    <n v="2021"/>
    <s v="2020-2023"/>
    <n v="3.4062668681992411E-2"/>
    <n v="567.76715508140967"/>
    <n v="835.35984491859028"/>
  </r>
  <r>
    <n v="497"/>
    <n v="497"/>
    <n v="497"/>
    <n v="5491"/>
    <n v="4296456769"/>
    <d v="2020-12-31T00:00:00"/>
    <s v="Celulosa Arauco y Constitucion SA"/>
    <x v="2"/>
    <s v="Chile"/>
    <n v="64.835999999999999"/>
    <n v="22.988"/>
    <n v="7384.7219999999998"/>
    <n v="3.1129133906462559E-3"/>
    <n v="1.4342115352208799E-3"/>
    <n v="16028.319"/>
    <n v="2020"/>
    <n v="0"/>
    <n v="0"/>
    <n v="4296"/>
    <n v="0"/>
    <n v="0"/>
    <n v="0"/>
    <n v="0"/>
    <n v="0"/>
    <n v="0"/>
    <n v="0"/>
    <n v="0"/>
    <n v="0"/>
    <n v="0"/>
    <n v="0"/>
    <n v="0"/>
    <n v="0"/>
    <n v="0"/>
    <n v="4"/>
    <x v="0"/>
    <n v="15377.576727272701"/>
    <n v="5"/>
    <x v="0"/>
    <n v="2020"/>
    <s v="2020-2023"/>
    <n v="3.4062668681992411E-2"/>
    <n v="545.96731962628394"/>
    <n v="-481.13131962628393"/>
  </r>
  <r>
    <n v="498"/>
    <n v="498"/>
    <n v="498"/>
    <n v="5492"/>
    <n v="4296456769"/>
    <d v="2019-12-31T00:00:00"/>
    <s v="Celulosa Arauco y Constitucion SA"/>
    <x v="2"/>
    <s v="Chile"/>
    <n v="54.73"/>
    <n v="54.195"/>
    <n v="7334.4040000000005"/>
    <n v="7.3891484570525424E-3"/>
    <n v="3.4170805477669341E-3"/>
    <n v="15860.03"/>
    <n v="2019"/>
    <n v="0"/>
    <n v="0"/>
    <n v="4296"/>
    <n v="0"/>
    <n v="500000000"/>
    <n v="0"/>
    <n v="1500000000"/>
    <s v="COPXC"/>
    <n v="0"/>
    <n v="1"/>
    <n v="1"/>
    <n v="0"/>
    <n v="1"/>
    <s v="COPX"/>
    <n v="0"/>
    <n v="0"/>
    <n v="0"/>
    <n v="4"/>
    <x v="0"/>
    <n v="15377.576727272701"/>
    <n v="5"/>
    <x v="0"/>
    <n v="2019"/>
    <s v="2017-2019"/>
    <n v="3.5092427195981053E-2"/>
    <n v="556.56694810107535"/>
    <n v="-501.83694810107528"/>
  </r>
  <r>
    <n v="499"/>
    <n v="499"/>
    <n v="499"/>
    <n v="5493"/>
    <n v="4296456769"/>
    <d v="2018-12-31T00:00:00"/>
    <s v="Celulosa Arauco y Constitucion SA"/>
    <x v="2"/>
    <s v="Chile"/>
    <n v="936.27800000000002"/>
    <n v="709.51300000000003"/>
    <n v="7301.7790000000005"/>
    <n v="9.7169881476829145E-2"/>
    <n v="4.8617599810549007E-2"/>
    <n v="14593.748"/>
    <n v="2018"/>
    <n v="0"/>
    <n v="0"/>
    <n v="4296"/>
    <n v="0"/>
    <n v="0"/>
    <n v="0"/>
    <n v="845215000"/>
    <s v="COPXC"/>
    <n v="0"/>
    <n v="1"/>
    <n v="0"/>
    <n v="0"/>
    <n v="1"/>
    <s v="COPX"/>
    <n v="0"/>
    <n v="0"/>
    <n v="0"/>
    <n v="4"/>
    <x v="0"/>
    <n v="15377.576727272701"/>
    <n v="5"/>
    <x v="0"/>
    <n v="2018"/>
    <s v="2017-2019"/>
    <n v="3.5092427195981053E-2"/>
    <n v="512.13003920649408"/>
    <n v="424.14796079350589"/>
  </r>
  <r>
    <n v="500"/>
    <n v="500"/>
    <n v="500"/>
    <n v="5494"/>
    <n v="4296456769"/>
    <d v="2017-12-31T00:00:00"/>
    <s v="Celulosa Arauco y Constitucion SA"/>
    <x v="2"/>
    <s v="Chile"/>
    <n v="222.34299999999999"/>
    <n v="253.33500000000001"/>
    <n v="7074.973"/>
    <n v="3.5807203787208801E-2"/>
    <n v="1.8102339473797031E-2"/>
    <n v="13994.6"/>
    <n v="2017"/>
    <n v="0"/>
    <n v="0"/>
    <n v="4296"/>
    <n v="0"/>
    <n v="0"/>
    <n v="0"/>
    <n v="900000000"/>
    <s v="COPXC"/>
    <n v="0"/>
    <n v="1"/>
    <n v="0"/>
    <n v="0"/>
    <n v="1"/>
    <s v="COPX"/>
    <n v="0"/>
    <n v="0"/>
    <n v="0"/>
    <n v="4"/>
    <x v="0"/>
    <n v="15377.576727272701"/>
    <n v="5"/>
    <x v="0"/>
    <n v="2017"/>
    <s v="2017-2019"/>
    <n v="3.5092427195981053E-2"/>
    <n v="491.10448163687653"/>
    <n v="-268.76148163687651"/>
  </r>
  <r>
    <n v="501"/>
    <n v="501"/>
    <n v="501"/>
    <n v="5495"/>
    <n v="4296456769"/>
    <d v="2016-12-31T00:00:00"/>
    <s v="Celulosa Arauco y Constitucion SA"/>
    <x v="2"/>
    <s v="Chile"/>
    <n v="239.285"/>
    <n v="193.63800000000001"/>
    <n v="6955.2510000000002"/>
    <n v="2.78405480981204E-2"/>
    <n v="1.382518189647842E-2"/>
    <n v="14006.181"/>
    <n v="2016"/>
    <n v="0"/>
    <n v="0"/>
    <n v="4296"/>
    <n v="0"/>
    <n v="0"/>
    <n v="0"/>
    <n v="0"/>
    <n v="0"/>
    <n v="0"/>
    <n v="0"/>
    <n v="0"/>
    <n v="0"/>
    <n v="0"/>
    <n v="0"/>
    <n v="0"/>
    <n v="0"/>
    <n v="0"/>
    <n v="4"/>
    <x v="0"/>
    <n v="15377.576727272701"/>
    <n v="5"/>
    <x v="0"/>
    <n v="2016"/>
    <s v="2013-2016"/>
    <n v="3.5494312143141332E-2"/>
    <n v="497.13976034733543"/>
    <n v="-257.8547603473354"/>
  </r>
  <r>
    <n v="502"/>
    <n v="502"/>
    <n v="502"/>
    <n v="5496"/>
    <n v="4296456769"/>
    <d v="2015-12-31T00:00:00"/>
    <s v="Celulosa Arauco y Constitucion SA"/>
    <x v="2"/>
    <s v="Chile"/>
    <n v="490.65699999999998"/>
    <n v="360.96300000000002"/>
    <n v="6608.71"/>
    <n v="5.4619282734451963E-2"/>
    <n v="2.6404731218002471E-2"/>
    <n v="13670.391"/>
    <n v="2015"/>
    <n v="0"/>
    <n v="0"/>
    <n v="4296"/>
    <n v="0"/>
    <n v="0"/>
    <n v="0"/>
    <n v="0"/>
    <n v="0"/>
    <n v="0"/>
    <n v="0"/>
    <n v="0"/>
    <n v="0"/>
    <n v="0"/>
    <n v="0"/>
    <n v="0"/>
    <n v="0"/>
    <n v="0"/>
    <n v="4"/>
    <x v="0"/>
    <n v="15377.576727272701"/>
    <n v="5"/>
    <x v="0"/>
    <n v="2015"/>
    <s v="2013-2016"/>
    <n v="3.5494312143141332E-2"/>
    <n v="485.22112527278989"/>
    <n v="5.4358747272100354"/>
  </r>
  <r>
    <n v="503"/>
    <n v="503"/>
    <n v="503"/>
    <n v="5497"/>
    <n v="4296456769"/>
    <d v="2014-12-31T00:00:00"/>
    <s v="Celulosa Arauco y Constitucion SA"/>
    <x v="2"/>
    <s v="Chile"/>
    <n v="585.34400000000005"/>
    <n v="429.40899999999999"/>
    <n v="6767.13"/>
    <n v="6.345511317205374E-2"/>
    <n v="2.911662591622385E-2"/>
    <n v="14747.897000000001"/>
    <n v="2014"/>
    <n v="0"/>
    <n v="0"/>
    <n v="4296"/>
    <n v="0"/>
    <n v="0"/>
    <n v="0"/>
    <n v="500000000"/>
    <s v="COPXC"/>
    <n v="0"/>
    <n v="1"/>
    <n v="0"/>
    <n v="0"/>
    <n v="1"/>
    <s v="COPX"/>
    <n v="0"/>
    <n v="0"/>
    <n v="0"/>
    <n v="4"/>
    <x v="0"/>
    <n v="15377.576727272701"/>
    <n v="5"/>
    <x v="0"/>
    <n v="2014"/>
    <s v="2013-2016"/>
    <n v="3.5494312143141332E-2"/>
    <n v="523.46645957289763"/>
    <n v="61.877540427102417"/>
  </r>
  <r>
    <n v="504"/>
    <n v="504"/>
    <n v="504"/>
    <n v="5498"/>
    <n v="4296456769"/>
    <d v="2013-12-31T00:00:00"/>
    <s v="Celulosa Arauco y Constitucion SA"/>
    <x v="2"/>
    <s v="Chile"/>
    <n v="542.67399999999998"/>
    <n v="412.31700000000001"/>
    <n v="6992.2979999999998"/>
    <n v="5.896730945963688E-2"/>
    <n v="2.8448614006587141E-2"/>
    <n v="14493.395"/>
    <n v="2013"/>
    <n v="0"/>
    <n v="0"/>
    <n v="4296"/>
    <n v="0"/>
    <n v="0"/>
    <n v="0"/>
    <n v="0"/>
    <n v="0"/>
    <n v="0"/>
    <n v="0"/>
    <n v="0"/>
    <n v="0"/>
    <n v="0"/>
    <n v="0"/>
    <n v="0"/>
    <n v="0"/>
    <n v="0"/>
    <n v="4"/>
    <x v="0"/>
    <n v="15377.576727272701"/>
    <n v="5"/>
    <x v="0"/>
    <n v="2013"/>
    <s v="2013-2016"/>
    <n v="3.5494312143141332E-2"/>
    <n v="514.43308614384387"/>
    <n v="28.240913856156109"/>
  </r>
  <r>
    <n v="538"/>
    <n v="538"/>
    <n v="538"/>
    <n v="459"/>
    <s v="CENCOSUD.SN"/>
    <d v="2023-12-31T00:00:00"/>
    <s v="Cencosud SA"/>
    <x v="3"/>
    <s v="Chile"/>
    <n v="583007643.82565999"/>
    <n v="331841046.81005698"/>
    <n v="4168402435.8945198"/>
    <n v="7.9608687480014262E-2"/>
    <n v="2.1528766750293939E-2"/>
    <n v="15413843749.5741"/>
    <n v="2023"/>
    <n v="0"/>
    <n v="0"/>
    <s v="CENC"/>
    <n v="0"/>
    <n v="0"/>
    <n v="0"/>
    <n v="0"/>
    <n v="0"/>
    <n v="0"/>
    <n v="0"/>
    <n v="0"/>
    <n v="0"/>
    <n v="0"/>
    <n v="0"/>
    <n v="0"/>
    <n v="0"/>
    <n v="0"/>
    <n v="2"/>
    <x v="0"/>
    <n v="15871693999.004999"/>
    <n v="10"/>
    <x v="0"/>
    <n v="2023"/>
    <s v="2020-2023"/>
    <n v="2.639308490294508E-2"/>
    <n v="406818886.76323861"/>
    <n v="176188757.06242141"/>
  </r>
  <r>
    <n v="539"/>
    <n v="539"/>
    <n v="539"/>
    <n v="460"/>
    <s v="CENCOSUD.SN"/>
    <d v="2022-12-31T00:00:00"/>
    <s v="Cencosud SA"/>
    <x v="3"/>
    <s v="Chile"/>
    <n v="757175537.86270297"/>
    <n v="477409943.382873"/>
    <n v="4329809219.1554604"/>
    <n v="0.11026119609861081"/>
    <n v="3.034048637510384E-2"/>
    <n v="15735078781.552299"/>
    <n v="2022"/>
    <n v="0"/>
    <n v="0"/>
    <s v="CENC"/>
    <n v="0"/>
    <n v="0"/>
    <n v="0"/>
    <n v="0"/>
    <n v="0"/>
    <n v="0"/>
    <n v="0"/>
    <n v="0"/>
    <n v="0"/>
    <n v="0"/>
    <n v="0"/>
    <n v="0"/>
    <n v="0"/>
    <n v="0"/>
    <n v="2"/>
    <x v="0"/>
    <n v="15871693999.004999"/>
    <n v="10"/>
    <x v="0"/>
    <n v="2022"/>
    <s v="2020-2023"/>
    <n v="2.639308490294508E-2"/>
    <n v="415297270.23603952"/>
    <n v="341878267.62666351"/>
  </r>
  <r>
    <n v="540"/>
    <n v="540"/>
    <n v="540"/>
    <n v="461"/>
    <s v="CENCOSUD.SN"/>
    <d v="2021-12-31T00:00:00"/>
    <s v="Cencosud SA"/>
    <x v="3"/>
    <s v="Chile"/>
    <n v="888061708.37739396"/>
    <n v="581759793.20878899"/>
    <n v="4907134691.5756102"/>
    <n v="0.1185538669251392"/>
    <n v="4.1428728617469053E-2"/>
    <n v="14042424487.1343"/>
    <n v="2021"/>
    <n v="0"/>
    <n v="0"/>
    <s v="CENC"/>
    <n v="0"/>
    <n v="0"/>
    <n v="0"/>
    <n v="0"/>
    <n v="0"/>
    <n v="0"/>
    <n v="0"/>
    <n v="0"/>
    <n v="0"/>
    <n v="0"/>
    <n v="0"/>
    <n v="0"/>
    <n v="0"/>
    <n v="0"/>
    <n v="2"/>
    <x v="0"/>
    <n v="15871693999.004999"/>
    <n v="10"/>
    <x v="0"/>
    <n v="2021"/>
    <s v="2020-2023"/>
    <n v="2.639308490294508E-2"/>
    <n v="370622901.73213059"/>
    <n v="517438806.64526337"/>
  </r>
  <r>
    <n v="541"/>
    <n v="541"/>
    <n v="541"/>
    <n v="462"/>
    <s v="CENCOSUD.SN"/>
    <d v="2020-12-31T00:00:00"/>
    <s v="Cencosud SA"/>
    <x v="3"/>
    <s v="Chile"/>
    <n v="285393800.63402599"/>
    <n v="91554319.126452997"/>
    <n v="5575673907.7139797"/>
    <n v="1.6420314502214171E-2"/>
    <n v="6.0487473048766172E-3"/>
    <n v="15136079342.021799"/>
    <n v="2020"/>
    <n v="0"/>
    <n v="0"/>
    <s v="CENC"/>
    <n v="0"/>
    <n v="0"/>
    <n v="0"/>
    <n v="0"/>
    <n v="0"/>
    <n v="0"/>
    <n v="0"/>
    <n v="0"/>
    <n v="0"/>
    <n v="0"/>
    <n v="0"/>
    <n v="0"/>
    <n v="0"/>
    <n v="0"/>
    <n v="2"/>
    <x v="0"/>
    <n v="15871693999.004999"/>
    <n v="10"/>
    <x v="0"/>
    <n v="2020"/>
    <s v="2020-2023"/>
    <n v="2.639308490294508E-2"/>
    <n v="399487827.17169452"/>
    <n v="-114094026.5376685"/>
  </r>
  <r>
    <n v="542"/>
    <n v="542"/>
    <n v="542"/>
    <n v="463"/>
    <s v="CENCOSUD.SN"/>
    <d v="2019-12-31T00:00:00"/>
    <s v="Cencosud SA"/>
    <x v="3"/>
    <s v="Chile"/>
    <n v="438409600.79840302"/>
    <n v="205744754.491018"/>
    <n v="5911561407.8509703"/>
    <n v="3.4803792144960967E-2"/>
    <n v="1.2623554462674529E-2"/>
    <n v="16298480360.612101"/>
    <n v="2019"/>
    <n v="0"/>
    <n v="0"/>
    <s v="CENC"/>
    <n v="0"/>
    <n v="0"/>
    <n v="0"/>
    <n v="0"/>
    <n v="0"/>
    <n v="0"/>
    <n v="0"/>
    <n v="0"/>
    <n v="0"/>
    <n v="0"/>
    <n v="0"/>
    <n v="0"/>
    <n v="0"/>
    <n v="0"/>
    <n v="2"/>
    <x v="0"/>
    <n v="15871693999.004999"/>
    <n v="10"/>
    <x v="0"/>
    <n v="2019"/>
    <s v="2017-2019"/>
    <n v="2.6740380212775649E-2"/>
    <n v="435827561.73322439"/>
    <n v="2582039.0651786332"/>
  </r>
  <r>
    <n v="543"/>
    <n v="543"/>
    <n v="543"/>
    <n v="464"/>
    <s v="CENCOSUD.SN"/>
    <d v="2018-12-31T00:00:00"/>
    <s v="Cencosud SA"/>
    <x v="3"/>
    <s v="Chile"/>
    <n v="401741671.35743701"/>
    <n v="275087648.12008399"/>
    <n v="6127595925.5250101"/>
    <n v="4.4893242221502157E-2"/>
    <n v="1.792194398524128E-2"/>
    <n v="15349208118.6404"/>
    <n v="2018"/>
    <n v="0"/>
    <n v="0"/>
    <s v="CENC"/>
    <n v="0"/>
    <n v="0"/>
    <n v="0"/>
    <n v="0"/>
    <n v="0"/>
    <n v="0"/>
    <n v="0"/>
    <n v="0"/>
    <n v="0"/>
    <n v="0"/>
    <n v="0"/>
    <n v="0"/>
    <n v="0"/>
    <n v="0"/>
    <n v="2"/>
    <x v="0"/>
    <n v="15871693999.004999"/>
    <n v="10"/>
    <x v="0"/>
    <n v="2018"/>
    <s v="2017-2019"/>
    <n v="2.6740380212775649E-2"/>
    <n v="410443661.05746722"/>
    <n v="-8701989.700030148"/>
  </r>
  <r>
    <n v="544"/>
    <n v="544"/>
    <n v="544"/>
    <n v="465"/>
    <s v="CENCOSUD.SN"/>
    <d v="2017-12-31T00:00:00"/>
    <s v="Cencosud SA"/>
    <x v="3"/>
    <s v="Chile"/>
    <n v="1038672374.52209"/>
    <n v="716075776.45814705"/>
    <n v="6524283390.5474701"/>
    <n v="0.10975546793317011"/>
    <n v="4.390510185002313E-2"/>
    <n v="16309625676.401199"/>
    <n v="2017"/>
    <n v="0"/>
    <n v="0"/>
    <s v="CENC"/>
    <n v="0"/>
    <n v="0"/>
    <n v="0"/>
    <n v="1000000000"/>
    <s v="INVSEC"/>
    <n v="0"/>
    <n v="1"/>
    <n v="0"/>
    <n v="0"/>
    <n v="1"/>
    <s v="INVS"/>
    <n v="0"/>
    <n v="0"/>
    <n v="0"/>
    <n v="2"/>
    <x v="0"/>
    <n v="15871693999.004999"/>
    <n v="10"/>
    <x v="0"/>
    <n v="2017"/>
    <s v="2017-2019"/>
    <n v="2.6740380212775649E-2"/>
    <n v="436125591.71501642"/>
    <n v="602546782.80707359"/>
  </r>
  <r>
    <n v="545"/>
    <n v="545"/>
    <n v="545"/>
    <n v="466"/>
    <s v="CENCOSUD.SN"/>
    <d v="2016-12-31T00:00:00"/>
    <s v="Cencosud SA"/>
    <x v="3"/>
    <s v="Chile"/>
    <n v="866240401.02197897"/>
    <n v="579416202.244169"/>
    <n v="6103871474.2488298"/>
    <n v="9.4926016166727134E-2"/>
    <n v="3.8152312072107612E-2"/>
    <n v="15186922384.9154"/>
    <n v="2016"/>
    <n v="0"/>
    <n v="0"/>
    <s v="CENC"/>
    <n v="0"/>
    <n v="0"/>
    <n v="0"/>
    <n v="0"/>
    <n v="0"/>
    <n v="0"/>
    <n v="0"/>
    <n v="0"/>
    <n v="0"/>
    <n v="0"/>
    <n v="0"/>
    <n v="0"/>
    <n v="0"/>
    <n v="0"/>
    <n v="2"/>
    <x v="0"/>
    <n v="15871693999.004999"/>
    <n v="10"/>
    <x v="0"/>
    <n v="2016"/>
    <s v="2013-2016"/>
    <n v="3.8046758435701003E-2"/>
    <n v="577813167.36061633"/>
    <n v="288427233.66136259"/>
  </r>
  <r>
    <n v="546"/>
    <n v="546"/>
    <n v="546"/>
    <n v="467"/>
    <s v="CENCOSUD.SN"/>
    <d v="2015-12-31T00:00:00"/>
    <s v="Cencosud SA"/>
    <x v="3"/>
    <s v="Chile"/>
    <n v="397373090.34399903"/>
    <n v="314671835.840927"/>
    <n v="5610999165.0773497"/>
    <n v="5.608124802431496E-2"/>
    <n v="2.2030116749359101E-2"/>
    <n v="14283711676.2026"/>
    <n v="2015"/>
    <n v="0"/>
    <n v="0"/>
    <s v="CENC"/>
    <n v="0"/>
    <n v="0"/>
    <n v="0"/>
    <n v="1000000000"/>
    <s v="INVSEC"/>
    <n v="0"/>
    <n v="1"/>
    <n v="0"/>
    <n v="0"/>
    <n v="1"/>
    <s v="INVS"/>
    <n v="0"/>
    <n v="0"/>
    <n v="0"/>
    <n v="2"/>
    <x v="0"/>
    <n v="15871693999.004999"/>
    <n v="10"/>
    <x v="0"/>
    <n v="2015"/>
    <s v="2013-2016"/>
    <n v="3.8046758435701003E-2"/>
    <n v="543448927.70968223"/>
    <n v="-146075837.3656832"/>
  </r>
  <r>
    <n v="547"/>
    <n v="547"/>
    <n v="547"/>
    <n v="468"/>
    <s v="CENCOSUD.SN"/>
    <d v="2014-12-31T00:00:00"/>
    <s v="Cencosud SA"/>
    <x v="3"/>
    <s v="Chile"/>
    <n v="461908393.79947197"/>
    <n v="296199155.67282301"/>
    <n v="7078360150.0659599"/>
    <n v="4.1845731128849498E-2"/>
    <n v="1.6760613435354729E-2"/>
    <n v="17672333820.910301"/>
    <n v="2014"/>
    <n v="0"/>
    <n v="0"/>
    <s v="CENC"/>
    <n v="0"/>
    <n v="0"/>
    <n v="0"/>
    <n v="0"/>
    <n v="0"/>
    <n v="0"/>
    <n v="0"/>
    <n v="0"/>
    <n v="0"/>
    <n v="0"/>
    <n v="0"/>
    <n v="0"/>
    <n v="0"/>
    <n v="0"/>
    <n v="2"/>
    <x v="0"/>
    <n v="15871693999.004999"/>
    <n v="10"/>
    <x v="0"/>
    <n v="2014"/>
    <s v="2013-2016"/>
    <n v="3.8046758435701003E-2"/>
    <n v="672375015.87924314"/>
    <n v="-210466622.07977119"/>
  </r>
  <r>
    <n v="548"/>
    <n v="548"/>
    <n v="548"/>
    <n v="469"/>
    <s v="CENCOSUD.SN"/>
    <d v="2013-12-31T00:00:00"/>
    <s v="Cencosud SA"/>
    <x v="3"/>
    <s v="Chile"/>
    <n v="620450350.27603304"/>
    <n v="437397289.16809398"/>
    <n v="8112063588.4256601"/>
    <n v="5.3919361504041342E-2"/>
    <n v="2.2827565771220849E-2"/>
    <n v="19160925591.090801"/>
    <n v="2013"/>
    <n v="0"/>
    <n v="0"/>
    <s v="CENC"/>
    <n v="0"/>
    <n v="0"/>
    <n v="0"/>
    <n v="0"/>
    <n v="0"/>
    <n v="0"/>
    <n v="0"/>
    <n v="0"/>
    <n v="0"/>
    <n v="0"/>
    <n v="0"/>
    <n v="0"/>
    <n v="0"/>
    <n v="0"/>
    <n v="2"/>
    <x v="0"/>
    <n v="15871693999.004999"/>
    <n v="10"/>
    <x v="0"/>
    <n v="2013"/>
    <s v="2013-2016"/>
    <n v="3.8046758435701003E-2"/>
    <n v="729011107.36867321"/>
    <n v="-108560757.09264021"/>
  </r>
  <r>
    <n v="659"/>
    <n v="659"/>
    <n v="659"/>
    <n v="1003"/>
    <s v="COLBUN.SN"/>
    <d v="2023-12-31T00:00:00"/>
    <s v="Colbun SA"/>
    <x v="0"/>
    <s v="Chile"/>
    <n v="548572000"/>
    <n v="403830000"/>
    <n v="2973256000"/>
    <n v="0.1358207971328402"/>
    <n v="6.0628553386771977E-2"/>
    <n v="6660723000"/>
    <n v="2023"/>
    <n v="0"/>
    <n v="0"/>
    <s v="COLB"/>
    <n v="0"/>
    <n v="0"/>
    <n v="0"/>
    <n v="0"/>
    <n v="0"/>
    <n v="0"/>
    <n v="0"/>
    <n v="0"/>
    <n v="0"/>
    <n v="0"/>
    <n v="0"/>
    <n v="0"/>
    <n v="0"/>
    <n v="0"/>
    <n v="4"/>
    <x v="0"/>
    <n v="6665554272.7272701"/>
    <n v="10"/>
    <x v="0"/>
    <n v="2023"/>
    <s v="2020-2023"/>
    <n v="3.5835499651311283E-2"/>
    <n v="238690336.743981"/>
    <n v="309881663.256019"/>
  </r>
  <r>
    <n v="660"/>
    <n v="660"/>
    <n v="660"/>
    <n v="1004"/>
    <s v="COLBUN.SN"/>
    <d v="2022-12-31T00:00:00"/>
    <s v="Colbun SA"/>
    <x v="0"/>
    <s v="Chile"/>
    <n v="416000000"/>
    <n v="310467000"/>
    <n v="2817580000"/>
    <n v="0.1101892404119848"/>
    <n v="4.6997914312105982E-2"/>
    <n v="6605974000"/>
    <n v="2022"/>
    <n v="0"/>
    <n v="0"/>
    <s v="COLB"/>
    <n v="0"/>
    <n v="0"/>
    <n v="0"/>
    <n v="0"/>
    <n v="0"/>
    <n v="0"/>
    <n v="0"/>
    <n v="0"/>
    <n v="0"/>
    <n v="0"/>
    <n v="0"/>
    <n v="0"/>
    <n v="0"/>
    <n v="0"/>
    <n v="4"/>
    <x v="0"/>
    <n v="6665554272.7272701"/>
    <n v="10"/>
    <x v="0"/>
    <n v="2022"/>
    <s v="2020-2023"/>
    <n v="3.5835499651311283E-2"/>
    <n v="236728378.97357139"/>
    <n v="179271621.02642861"/>
  </r>
  <r>
    <n v="661"/>
    <n v="661"/>
    <n v="661"/>
    <n v="1005"/>
    <s v="COLBUN.SN"/>
    <d v="2021-12-31T00:00:00"/>
    <s v="Colbun SA"/>
    <x v="0"/>
    <s v="Chile"/>
    <n v="825172000"/>
    <n v="540180000"/>
    <n v="2720627000"/>
    <n v="0.19854981958203019"/>
    <n v="8.1814365086721588E-2"/>
    <n v="6602508000"/>
    <n v="2021"/>
    <n v="0"/>
    <n v="0"/>
    <s v="COLB"/>
    <n v="0"/>
    <n v="0"/>
    <n v="0"/>
    <n v="600000000"/>
    <s v="COLBU"/>
    <n v="0"/>
    <n v="1"/>
    <n v="0"/>
    <n v="0"/>
    <n v="1"/>
    <s v="COLB"/>
    <n v="0"/>
    <n v="0"/>
    <n v="0"/>
    <n v="4"/>
    <x v="0"/>
    <n v="6665554272.7272701"/>
    <n v="10"/>
    <x v="0"/>
    <n v="2021"/>
    <s v="2020-2023"/>
    <n v="3.5835499651311283E-2"/>
    <n v="236604173.13177991"/>
    <n v="588567826.86822009"/>
  </r>
  <r>
    <n v="662"/>
    <n v="662"/>
    <n v="662"/>
    <n v="1006"/>
    <s v="COLBUN.SN"/>
    <d v="2020-12-31T00:00:00"/>
    <s v="Colbun SA"/>
    <x v="0"/>
    <s v="Chile"/>
    <n v="132219000"/>
    <n v="89468000"/>
    <n v="3459451000"/>
    <n v="2.5861906990444439E-2"/>
    <n v="1.3486553167255239E-2"/>
    <n v="6633867000"/>
    <n v="2020"/>
    <n v="0"/>
    <n v="0"/>
    <s v="COLB"/>
    <n v="0"/>
    <n v="0"/>
    <n v="0"/>
    <n v="500000000"/>
    <s v="COLBU"/>
    <n v="0"/>
    <n v="1"/>
    <n v="0"/>
    <n v="0"/>
    <n v="1"/>
    <s v="COLB"/>
    <n v="0"/>
    <n v="0"/>
    <n v="0"/>
    <n v="4"/>
    <x v="0"/>
    <n v="6665554272.7272701"/>
    <n v="10"/>
    <x v="0"/>
    <n v="2020"/>
    <s v="2020-2023"/>
    <n v="3.5835499651311283E-2"/>
    <n v="237727938.56534541"/>
    <n v="-105508938.56534541"/>
  </r>
  <r>
    <n v="663"/>
    <n v="663"/>
    <n v="663"/>
    <n v="1007"/>
    <s v="COLBUN.SN"/>
    <d v="2019-12-31T00:00:00"/>
    <s v="Colbun SA"/>
    <x v="0"/>
    <s v="Chile"/>
    <n v="270182000"/>
    <n v="201966000"/>
    <n v="3536293000"/>
    <n v="5.7112349005017403E-2"/>
    <n v="3.0120127957526451E-2"/>
    <n v="6705350000"/>
    <n v="2019"/>
    <n v="0"/>
    <n v="0"/>
    <s v="COLB"/>
    <n v="0"/>
    <n v="0"/>
    <n v="0"/>
    <n v="0"/>
    <n v="0"/>
    <n v="0"/>
    <n v="0"/>
    <n v="0"/>
    <n v="0"/>
    <n v="0"/>
    <n v="0"/>
    <n v="0"/>
    <n v="0"/>
    <n v="0"/>
    <n v="4"/>
    <x v="0"/>
    <n v="6665554272.7272701"/>
    <n v="10"/>
    <x v="0"/>
    <n v="2019"/>
    <s v="2017-2019"/>
    <n v="4.4682896773591482E-2"/>
    <n v="299614461.88080162"/>
    <n v="-29432461.880801622"/>
  </r>
  <r>
    <n v="664"/>
    <n v="664"/>
    <n v="664"/>
    <n v="1008"/>
    <s v="COLBUN.SN"/>
    <d v="2018-12-31T00:00:00"/>
    <s v="Colbun SA"/>
    <x v="0"/>
    <s v="Chile"/>
    <n v="328843000"/>
    <n v="230425000"/>
    <n v="3656514000"/>
    <n v="6.3017672023134602E-2"/>
    <n v="3.3994266155372051E-2"/>
    <n v="6778349000"/>
    <n v="2018"/>
    <n v="0"/>
    <n v="0"/>
    <s v="COLB"/>
    <n v="0"/>
    <n v="0"/>
    <n v="0"/>
    <n v="0"/>
    <n v="0"/>
    <n v="0"/>
    <n v="0"/>
    <n v="0"/>
    <n v="0"/>
    <n v="0"/>
    <n v="0"/>
    <n v="0"/>
    <n v="0"/>
    <n v="0"/>
    <n v="4"/>
    <x v="0"/>
    <n v="6665554272.7272701"/>
    <n v="10"/>
    <x v="0"/>
    <n v="2018"/>
    <s v="2017-2019"/>
    <n v="4.4682896773591482E-2"/>
    <n v="302876268.662377"/>
    <n v="25966731.337623"/>
  </r>
  <r>
    <n v="665"/>
    <n v="665"/>
    <n v="665"/>
    <n v="1009"/>
    <s v="COLBUN.SN"/>
    <d v="2017-12-31T00:00:00"/>
    <s v="Colbun SA"/>
    <x v="0"/>
    <s v="Chile"/>
    <n v="322682000"/>
    <n v="288602000"/>
    <n v="3724532000"/>
    <n v="7.7486782231969004E-2"/>
    <n v="4.1690176816550913E-2"/>
    <n v="6922542000"/>
    <n v="2017"/>
    <n v="0"/>
    <n v="0"/>
    <s v="COLB"/>
    <n v="0"/>
    <n v="0"/>
    <n v="0"/>
    <n v="500000000"/>
    <s v="COLBU"/>
    <n v="0"/>
    <n v="1"/>
    <n v="0"/>
    <n v="0"/>
    <n v="1"/>
    <s v="COLB"/>
    <n v="0"/>
    <n v="0"/>
    <n v="0"/>
    <n v="4"/>
    <x v="0"/>
    <n v="6665554272.7272701"/>
    <n v="10"/>
    <x v="0"/>
    <n v="2017"/>
    <s v="2017-2019"/>
    <n v="4.4682896773591482E-2"/>
    <n v="309319229.59685153"/>
    <n v="13362770.40314853"/>
  </r>
  <r>
    <n v="666"/>
    <n v="666"/>
    <n v="666"/>
    <n v="1010"/>
    <s v="COLBUN.SN"/>
    <d v="2016-12-31T00:00:00"/>
    <s v="Colbun SA"/>
    <x v="0"/>
    <s v="Chile"/>
    <n v="271654000"/>
    <n v="204740000"/>
    <n v="3576385000"/>
    <n v="5.7247751570370639E-2"/>
    <n v="3.000909624163698E-2"/>
    <n v="6822598000"/>
    <n v="2016"/>
    <n v="0"/>
    <n v="0"/>
    <s v="COLB"/>
    <n v="0"/>
    <n v="0"/>
    <n v="0"/>
    <n v="0"/>
    <n v="0"/>
    <n v="0"/>
    <n v="0"/>
    <n v="0"/>
    <n v="0"/>
    <n v="0"/>
    <n v="0"/>
    <n v="0"/>
    <n v="0"/>
    <n v="0"/>
    <n v="4"/>
    <x v="0"/>
    <n v="6665554272.7272701"/>
    <n v="10"/>
    <x v="0"/>
    <n v="2016"/>
    <s v="2013-2016"/>
    <n v="5.573875737993636E-2"/>
    <n v="380283134.62283897"/>
    <n v="-108629134.622839"/>
  </r>
  <r>
    <n v="667"/>
    <n v="667"/>
    <n v="667"/>
    <n v="1011"/>
    <s v="COLBUN.SN"/>
    <d v="2015-12-31T00:00:00"/>
    <s v="Colbun SA"/>
    <x v="0"/>
    <s v="Chile"/>
    <n v="300036000"/>
    <n v="200433000"/>
    <n v="3462660000"/>
    <n v="5.7884112214309232E-2"/>
    <n v="2.800455544010003E-2"/>
    <n v="7157157000"/>
    <n v="2015"/>
    <n v="0"/>
    <n v="0"/>
    <s v="COLB"/>
    <n v="0"/>
    <n v="0"/>
    <n v="0"/>
    <n v="0"/>
    <n v="0"/>
    <n v="0"/>
    <n v="0"/>
    <n v="0"/>
    <n v="0"/>
    <n v="0"/>
    <n v="0"/>
    <n v="0"/>
    <n v="0"/>
    <n v="0"/>
    <n v="4"/>
    <x v="0"/>
    <n v="6665554272.7272701"/>
    <n v="10"/>
    <x v="0"/>
    <n v="2015"/>
    <s v="2013-2016"/>
    <n v="5.573875737993636E-2"/>
    <n v="398931037.55311322"/>
    <n v="-98895037.553113163"/>
  </r>
  <r>
    <n v="668"/>
    <n v="668"/>
    <n v="668"/>
    <n v="1012"/>
    <s v="COLBUN.SN"/>
    <d v="2014-12-31T00:00:00"/>
    <s v="Colbun SA"/>
    <x v="0"/>
    <s v="Chile"/>
    <n v="169669000"/>
    <n v="79526000"/>
    <n v="3337973000"/>
    <n v="2.382463848569177E-2"/>
    <n v="1.247669620925004E-2"/>
    <n v="6373963000"/>
    <n v="2014"/>
    <n v="0"/>
    <n v="0"/>
    <s v="COLB"/>
    <n v="0"/>
    <n v="0"/>
    <n v="0"/>
    <n v="500000000"/>
    <s v="COLBU"/>
    <n v="0"/>
    <n v="1"/>
    <n v="0"/>
    <n v="0"/>
    <n v="1"/>
    <s v="COLB"/>
    <n v="0"/>
    <n v="0"/>
    <n v="0"/>
    <n v="4"/>
    <x v="0"/>
    <n v="6665554272.7272701"/>
    <n v="10"/>
    <x v="0"/>
    <n v="2014"/>
    <s v="2013-2016"/>
    <n v="5.573875737993636E-2"/>
    <n v="355276777.20569128"/>
    <n v="-185607777.20569131"/>
  </r>
  <r>
    <n v="669"/>
    <n v="669"/>
    <n v="669"/>
    <n v="1013"/>
    <s v="COLBUN.SN"/>
    <d v="2013-12-31T00:00:00"/>
    <s v="Colbun SA"/>
    <x v="0"/>
    <s v="Chile"/>
    <n v="118996000"/>
    <n v="62965000"/>
    <n v="3556306000"/>
    <n v="1.7705169352693499E-2"/>
    <n v="1.039358105375544E-2"/>
    <n v="6058066000"/>
    <n v="2013"/>
    <n v="0"/>
    <n v="0"/>
    <s v="COLB"/>
    <n v="0"/>
    <n v="0"/>
    <n v="0"/>
    <n v="0"/>
    <n v="0"/>
    <n v="0"/>
    <n v="0"/>
    <n v="0"/>
    <n v="0"/>
    <n v="0"/>
    <n v="0"/>
    <n v="0"/>
    <n v="0"/>
    <n v="0"/>
    <n v="4"/>
    <x v="0"/>
    <n v="6665554272.7272701"/>
    <n v="10"/>
    <x v="0"/>
    <n v="2013"/>
    <s v="2013-2016"/>
    <n v="5.573875737993636E-2"/>
    <n v="337669070.96564162"/>
    <n v="-218673070.96564159"/>
  </r>
  <r>
    <n v="700"/>
    <n v="700"/>
    <n v="700"/>
    <n v="1360"/>
    <s v="CVBJF.PK^H09"/>
    <d v="2023-12-31T00:00:00"/>
    <s v="Compania Cervecerias Unidas SA"/>
    <x v="2"/>
    <s v="Chile"/>
    <n v="117148002.45292901"/>
    <n v="134485728.72424999"/>
    <n v="1383593520.1798799"/>
    <n v="9.7200316973705986E-2"/>
    <n v="3.4587412685691987E-2"/>
    <n v="3888285311.9534898"/>
    <n v="2023"/>
    <n v="0"/>
    <n v="0"/>
    <s v="CVBJ"/>
    <n v="0"/>
    <n v="0"/>
    <n v="0"/>
    <n v="0"/>
    <n v="0"/>
    <n v="0"/>
    <n v="0"/>
    <n v="0"/>
    <n v="0"/>
    <n v="0"/>
    <n v="0"/>
    <n v="0"/>
    <n v="0"/>
    <n v="0"/>
    <n v="1"/>
    <x v="0"/>
    <n v="3312109549.42946"/>
    <n v="9"/>
    <x v="0"/>
    <n v="2023"/>
    <s v="2020-2023"/>
    <n v="3.4062668681992411E-2"/>
    <n v="132445374.3221292"/>
    <n v="-15297371.86920023"/>
  </r>
  <r>
    <n v="701"/>
    <n v="701"/>
    <n v="701"/>
    <n v="1361"/>
    <s v="CVBJF.PK^H09"/>
    <d v="2022-12-31T00:00:00"/>
    <s v="Compania Cervecerias Unidas SA"/>
    <x v="2"/>
    <s v="Chile"/>
    <n v="160118418.25902301"/>
    <n v="159807091.29511699"/>
    <n v="1551104111.81883"/>
    <n v="0.1030279592952188"/>
    <n v="3.7686085004365141E-2"/>
    <n v="4240480041.28332"/>
    <n v="2022"/>
    <n v="0"/>
    <n v="0"/>
    <s v="CVBJ"/>
    <n v="0"/>
    <n v="0"/>
    <n v="0"/>
    <n v="600000000"/>
    <s v="CCU"/>
    <n v="0"/>
    <n v="1"/>
    <n v="0"/>
    <n v="0"/>
    <n v="1"/>
    <s v="CCU"/>
    <n v="0"/>
    <n v="0"/>
    <n v="0"/>
    <n v="1"/>
    <x v="0"/>
    <n v="3312109549.42946"/>
    <n v="9"/>
    <x v="0"/>
    <n v="2022"/>
    <s v="2020-2023"/>
    <n v="3.4062668681992411E-2"/>
    <n v="144442066.69883519"/>
    <n v="15676351.560187791"/>
  </r>
  <r>
    <n v="702"/>
    <n v="702"/>
    <n v="702"/>
    <n v="1362"/>
    <s v="CVBJF.PK^H09"/>
    <d v="2021-12-31T00:00:00"/>
    <s v="Compania Cervecerias Unidas SA"/>
    <x v="2"/>
    <s v="Chile"/>
    <n v="354459468.922571"/>
    <n v="257373611.79649901"/>
    <n v="1536386126.18964"/>
    <n v="0.1675188335856729"/>
    <n v="7.6947618155569553E-2"/>
    <n v="3344789844.90659"/>
    <n v="2021"/>
    <n v="0"/>
    <n v="0"/>
    <s v="CVBJ"/>
    <n v="0"/>
    <n v="0"/>
    <n v="0"/>
    <n v="0"/>
    <n v="0"/>
    <n v="0"/>
    <n v="0"/>
    <n v="0"/>
    <n v="0"/>
    <n v="0"/>
    <n v="0"/>
    <n v="0"/>
    <n v="0"/>
    <n v="0"/>
    <n v="1"/>
    <x v="0"/>
    <n v="3312109549.42946"/>
    <n v="9"/>
    <x v="0"/>
    <n v="2021"/>
    <s v="2020-2023"/>
    <n v="3.4062668681992411E-2"/>
    <n v="113932468.29794601"/>
    <n v="240527000.624625"/>
  </r>
  <r>
    <n v="703"/>
    <n v="703"/>
    <n v="703"/>
    <n v="1363"/>
    <s v="CVBJF.PK^H09"/>
    <d v="2020-12-31T00:00:00"/>
    <s v="Compania Cervecerias Unidas SA"/>
    <x v="2"/>
    <s v="Chile"/>
    <n v="202329377.94998199"/>
    <n v="152440797.46389601"/>
    <n v="1826804445.22719"/>
    <n v="8.3446697243468634E-2"/>
    <n v="4.2843737707430531E-2"/>
    <n v="3558064856.6396599"/>
    <n v="2020"/>
    <n v="0"/>
    <n v="0"/>
    <s v="CVBJ"/>
    <n v="0"/>
    <n v="0"/>
    <n v="0"/>
    <n v="0"/>
    <n v="0"/>
    <n v="0"/>
    <n v="0"/>
    <n v="0"/>
    <n v="0"/>
    <n v="0"/>
    <n v="0"/>
    <n v="0"/>
    <n v="0"/>
    <n v="0"/>
    <n v="1"/>
    <x v="0"/>
    <n v="3312109549.42946"/>
    <n v="9"/>
    <x v="0"/>
    <n v="2020"/>
    <s v="2020-2023"/>
    <n v="3.4062668681992411E-2"/>
    <n v="121197184.3607576"/>
    <n v="81132193.589224428"/>
  </r>
  <r>
    <n v="704"/>
    <n v="704"/>
    <n v="704"/>
    <n v="1364"/>
    <s v="CVBJF.PK^H09"/>
    <d v="2019-12-31T00:00:00"/>
    <s v="Compania Cervecerias Unidas SA"/>
    <x v="2"/>
    <s v="Chile"/>
    <n v="247001429.14171699"/>
    <n v="193806600.13306701"/>
    <n v="1767204484.3645999"/>
    <n v="0.1096684632976983"/>
    <n v="6.1879693510147257E-2"/>
    <n v="3131990304.7238898"/>
    <n v="2019"/>
    <n v="0"/>
    <n v="0"/>
    <s v="CVBJ"/>
    <n v="0"/>
    <n v="0"/>
    <n v="0"/>
    <n v="0"/>
    <n v="0"/>
    <n v="0"/>
    <n v="0"/>
    <n v="0"/>
    <n v="0"/>
    <n v="0"/>
    <n v="0"/>
    <n v="0"/>
    <n v="0"/>
    <n v="0"/>
    <n v="1"/>
    <x v="0"/>
    <n v="3312109549.42946"/>
    <n v="9"/>
    <x v="0"/>
    <n v="2019"/>
    <s v="2017-2019"/>
    <n v="3.5092427195981053E-2"/>
    <n v="109909141.7470416"/>
    <n v="137092287.3946754"/>
  </r>
  <r>
    <n v="705"/>
    <n v="705"/>
    <n v="705"/>
    <n v="1365"/>
    <s v="CVBJF.PK^H09"/>
    <d v="2018-12-31T00:00:00"/>
    <s v="Compania Cervecerias Unidas SA"/>
    <x v="2"/>
    <s v="Chile"/>
    <n v="661342784.15241396"/>
    <n v="464869064.01096898"/>
    <n v="1847624605.61449"/>
    <n v="0.25160363344282322"/>
    <n v="0.13387473621565529"/>
    <n v="3472418151.1149602"/>
    <n v="2018"/>
    <n v="0"/>
    <n v="0"/>
    <s v="CVBJ"/>
    <n v="0"/>
    <n v="0"/>
    <n v="0"/>
    <n v="0"/>
    <n v="0"/>
    <n v="0"/>
    <n v="0"/>
    <n v="0"/>
    <n v="0"/>
    <n v="0"/>
    <n v="0"/>
    <n v="0"/>
    <n v="0"/>
    <n v="0"/>
    <n v="1"/>
    <x v="0"/>
    <n v="3312109549.42946"/>
    <n v="9"/>
    <x v="0"/>
    <n v="2018"/>
    <s v="2017-2019"/>
    <n v="3.5092427195981053E-2"/>
    <n v="121855581.1620049"/>
    <n v="539487202.99040914"/>
  </r>
  <r>
    <n v="706"/>
    <n v="706"/>
    <n v="706"/>
    <n v="1366"/>
    <s v="CVBJF.PK^H09"/>
    <d v="2017-12-31T00:00:00"/>
    <s v="Compania Cervecerias Unidas SA"/>
    <x v="2"/>
    <s v="Chile"/>
    <n v="319652477.01944202"/>
    <n v="240963831.44879201"/>
    <n v="1791388687.87115"/>
    <n v="0.1345123105221506"/>
    <n v="7.4944964616847659E-2"/>
    <n v="3215210423.8184299"/>
    <n v="2017"/>
    <n v="0"/>
    <n v="0"/>
    <s v="CVBJ"/>
    <n v="0"/>
    <n v="0"/>
    <n v="0"/>
    <n v="0"/>
    <n v="0"/>
    <n v="0"/>
    <n v="0"/>
    <n v="0"/>
    <n v="0"/>
    <n v="0"/>
    <n v="0"/>
    <n v="0"/>
    <n v="0"/>
    <n v="0"/>
    <n v="1"/>
    <x v="0"/>
    <n v="3312109549.42946"/>
    <n v="9"/>
    <x v="0"/>
    <n v="2017"/>
    <s v="2017-2019"/>
    <n v="3.5092427195981053E-2"/>
    <n v="112829537.7176076"/>
    <n v="206822939.3018344"/>
  </r>
  <r>
    <n v="707"/>
    <n v="707"/>
    <n v="707"/>
    <n v="1367"/>
    <s v="CVBJF.PK^H09"/>
    <d v="2016-12-31T00:00:00"/>
    <s v="Compania Cervecerias Unidas SA"/>
    <x v="2"/>
    <s v="Chile"/>
    <n v="254490982.98196599"/>
    <n v="209299237.998476"/>
    <n v="1609613403.7562201"/>
    <n v="0.13003074993663191"/>
    <n v="7.4828975666611952E-2"/>
    <n v="2797034653.1399002"/>
    <n v="2016"/>
    <n v="0"/>
    <n v="0"/>
    <s v="CVBJ"/>
    <n v="0"/>
    <n v="0"/>
    <n v="0"/>
    <n v="0"/>
    <n v="0"/>
    <n v="0"/>
    <n v="0"/>
    <n v="0"/>
    <n v="0"/>
    <n v="0"/>
    <n v="0"/>
    <n v="0"/>
    <n v="0"/>
    <n v="0"/>
    <n v="1"/>
    <x v="0"/>
    <n v="3312109549.42946"/>
    <n v="9"/>
    <x v="0"/>
    <n v="2016"/>
    <s v="2013-2016"/>
    <n v="3.5494312143141332E-2"/>
    <n v="99278821.053730667"/>
    <n v="155212161.92823529"/>
  </r>
  <r>
    <n v="708"/>
    <n v="708"/>
    <n v="708"/>
    <n v="1368"/>
    <s v="CVBJF.PK^H09"/>
    <d v="2015-12-31T00:00:00"/>
    <s v="Compania Cervecerias Unidas SA"/>
    <x v="2"/>
    <s v="Chile"/>
    <n v="269322746.34456497"/>
    <n v="198524532.03362301"/>
    <n v="1494407532.6693499"/>
    <n v="0.13284497547935489"/>
    <n v="7.6981449924864928E-2"/>
    <n v="2578861949.5655899"/>
    <n v="2015"/>
    <n v="0"/>
    <n v="0"/>
    <s v="CVBJ"/>
    <n v="0"/>
    <n v="0"/>
    <n v="0"/>
    <n v="0"/>
    <n v="0"/>
    <n v="0"/>
    <n v="0"/>
    <n v="0"/>
    <n v="0"/>
    <n v="0"/>
    <n v="0"/>
    <n v="0"/>
    <n v="0"/>
    <n v="0"/>
    <n v="1"/>
    <x v="0"/>
    <n v="3312109549.42946"/>
    <n v="9"/>
    <x v="0"/>
    <n v="2015"/>
    <s v="2013-2016"/>
    <n v="3.5494312143141332E-2"/>
    <n v="91534931.011951044"/>
    <n v="177787815.33261389"/>
  </r>
  <r>
    <n v="709"/>
    <n v="709"/>
    <n v="709"/>
    <n v="1369"/>
    <s v="CVBJF.PK^H09"/>
    <d v="2014-12-31T00:00:00"/>
    <s v="Compania Cervecerias Unidas SA"/>
    <x v="2"/>
    <s v="Chile"/>
    <n v="275672958.44327199"/>
    <n v="222442557.71767801"/>
    <n v="1691273378.9577799"/>
    <n v="0.13152371490335571"/>
    <n v="7.6255913379730228E-2"/>
    <n v="2917053220.64644"/>
    <n v="2014"/>
    <n v="0"/>
    <n v="0"/>
    <s v="CVBJ"/>
    <n v="0"/>
    <n v="0"/>
    <n v="0"/>
    <n v="0"/>
    <n v="0"/>
    <n v="0"/>
    <n v="0"/>
    <n v="0"/>
    <n v="0"/>
    <n v="0"/>
    <n v="0"/>
    <n v="0"/>
    <n v="0"/>
    <n v="0"/>
    <n v="1"/>
    <x v="0"/>
    <n v="3312109549.42946"/>
    <n v="9"/>
    <x v="0"/>
    <n v="2014"/>
    <s v="2013-2016"/>
    <n v="3.5494312143141332E-2"/>
    <n v="103538797.55178051"/>
    <n v="172134160.8914915"/>
  </r>
  <r>
    <n v="710"/>
    <n v="710"/>
    <n v="710"/>
    <n v="1370"/>
    <s v="CVBJF.PK^H09"/>
    <d v="2013-12-31T00:00:00"/>
    <s v="Compania Cervecerias Unidas SA"/>
    <x v="2"/>
    <s v="Chile"/>
    <n v="319073782.60041898"/>
    <n v="253006950.31410599"/>
    <n v="1882116611.46012"/>
    <n v="0.13442681966332931"/>
    <n v="7.6924809219186832E-2"/>
    <n v="3289016285.93185"/>
    <n v="2013"/>
    <n v="0"/>
    <n v="0"/>
    <s v="CVBJ"/>
    <n v="0"/>
    <n v="0"/>
    <n v="0"/>
    <n v="0"/>
    <n v="0"/>
    <n v="0"/>
    <n v="0"/>
    <n v="0"/>
    <n v="0"/>
    <n v="0"/>
    <n v="0"/>
    <n v="0"/>
    <n v="0"/>
    <n v="0"/>
    <n v="1"/>
    <x v="0"/>
    <n v="3312109549.42946"/>
    <n v="9"/>
    <x v="0"/>
    <n v="2013"/>
    <s v="2013-2016"/>
    <n v="3.5494312143141332E-2"/>
    <n v="116741370.69674049"/>
    <n v="202332411.90367851"/>
  </r>
  <r>
    <n v="733"/>
    <n v="733"/>
    <n v="733"/>
    <n v="85"/>
    <s v="ELECMETAL.SN"/>
    <d v="2023-12-31T00:00:00"/>
    <s v="Compania Electro Metalurgica SA"/>
    <x v="2"/>
    <s v="Chile"/>
    <n v="62999022.235344902"/>
    <n v="50149176.679007001"/>
    <n v="588268634.30920506"/>
    <n v="8.5248768596844229E-2"/>
    <n v="2.8755405846635811E-2"/>
    <n v="1743991267.1194"/>
    <n v="2023"/>
    <n v="0"/>
    <n v="0"/>
    <s v="ELEC"/>
    <n v="0"/>
    <n v="0"/>
    <n v="0"/>
    <n v="0"/>
    <n v="0"/>
    <n v="0"/>
    <n v="0"/>
    <n v="0"/>
    <n v="0"/>
    <n v="0"/>
    <n v="0"/>
    <n v="0"/>
    <n v="0"/>
    <n v="0"/>
    <n v="1"/>
    <x v="0"/>
    <n v="1525971929.5623"/>
    <n v="9"/>
    <x v="0"/>
    <n v="2023"/>
    <s v="2020-2023"/>
    <n v="3.4062668681992411E-2"/>
    <n v="59404996.716176249"/>
    <n v="3594025.5191686531"/>
  </r>
  <r>
    <n v="734"/>
    <n v="734"/>
    <n v="734"/>
    <n v="86"/>
    <s v="ELECMETAL.SN"/>
    <d v="2022-12-31T00:00:00"/>
    <s v="Compania Electro Metalurgica SA"/>
    <x v="2"/>
    <s v="Chile"/>
    <n v="64444537.626798801"/>
    <n v="58427263.505543798"/>
    <n v="582144882.04765296"/>
    <n v="0.1003655023128093"/>
    <n v="3.0897533979576251E-2"/>
    <n v="1891000865.7702301"/>
    <n v="2022"/>
    <n v="0"/>
    <n v="0"/>
    <s v="ELEC"/>
    <n v="0"/>
    <n v="0"/>
    <n v="0"/>
    <n v="0"/>
    <n v="0"/>
    <n v="0"/>
    <n v="0"/>
    <n v="0"/>
    <n v="0"/>
    <n v="0"/>
    <n v="0"/>
    <n v="0"/>
    <n v="0"/>
    <n v="0"/>
    <n v="1"/>
    <x v="0"/>
    <n v="1525971929.5623"/>
    <n v="9"/>
    <x v="0"/>
    <n v="2022"/>
    <s v="2020-2023"/>
    <n v="3.4062668681992411E-2"/>
    <n v="64412535.968092151"/>
    <n v="32001.658706650142"/>
  </r>
  <r>
    <n v="735"/>
    <n v="735"/>
    <n v="735"/>
    <n v="87"/>
    <s v="ELECMETAL.SN"/>
    <d v="2021-12-31T00:00:00"/>
    <s v="Compania Electro Metalurgica SA"/>
    <x v="2"/>
    <s v="Chile"/>
    <n v="66237744.095875897"/>
    <n v="53862265.303724602"/>
    <n v="553286283.63294601"/>
    <n v="9.7349720925771599E-2"/>
    <n v="3.2560473952272698E-2"/>
    <n v="1654222398.0730801"/>
    <n v="2021"/>
    <n v="0"/>
    <n v="0"/>
    <s v="ELEC"/>
    <n v="0"/>
    <n v="0"/>
    <n v="0"/>
    <n v="0"/>
    <n v="0"/>
    <n v="0"/>
    <n v="0"/>
    <n v="0"/>
    <n v="0"/>
    <n v="0"/>
    <n v="0"/>
    <n v="0"/>
    <n v="0"/>
    <n v="0"/>
    <n v="1"/>
    <x v="0"/>
    <n v="1525971929.5623"/>
    <n v="9"/>
    <x v="0"/>
    <n v="2021"/>
    <s v="2020-2023"/>
    <n v="3.4062668681992411E-2"/>
    <n v="56347229.471894287"/>
    <n v="9890514.6239816099"/>
  </r>
  <r>
    <n v="736"/>
    <n v="736"/>
    <n v="736"/>
    <n v="88"/>
    <s v="ELECMETAL.SN"/>
    <d v="2020-12-31T00:00:00"/>
    <s v="Compania Electro Metalurgica SA"/>
    <x v="2"/>
    <s v="Chile"/>
    <n v="50983980.2747446"/>
    <n v="42683078.5487848"/>
    <n v="569705838.67559004"/>
    <n v="7.4921258746463368E-2"/>
    <n v="2.585831915882154E-2"/>
    <n v="1650651702.71222"/>
    <n v="2020"/>
    <n v="0"/>
    <n v="0"/>
    <s v="ELEC"/>
    <n v="0"/>
    <n v="0"/>
    <n v="0"/>
    <n v="0"/>
    <n v="0"/>
    <n v="0"/>
    <n v="0"/>
    <n v="0"/>
    <n v="0"/>
    <n v="0"/>
    <n v="0"/>
    <n v="0"/>
    <n v="0"/>
    <n v="0"/>
    <n v="1"/>
    <x v="0"/>
    <n v="1525971929.5623"/>
    <n v="9"/>
    <x v="0"/>
    <n v="2020"/>
    <s v="2020-2023"/>
    <n v="3.4062668681992411E-2"/>
    <n v="56225602.058852993"/>
    <n v="-5241621.7841083854"/>
  </r>
  <r>
    <n v="737"/>
    <n v="737"/>
    <n v="737"/>
    <n v="89"/>
    <s v="ELECMETAL.SN"/>
    <d v="2019-12-31T00:00:00"/>
    <s v="Compania Electro Metalurgica SA"/>
    <x v="2"/>
    <s v="Chile"/>
    <n v="62882165.003326699"/>
    <n v="47988397.870924801"/>
    <n v="534550449.76713198"/>
    <n v="8.9773374789657648E-2"/>
    <n v="3.2010262753071221E-2"/>
    <n v="1499156637.39188"/>
    <n v="2019"/>
    <n v="0"/>
    <n v="0"/>
    <s v="ELEC"/>
    <n v="0"/>
    <n v="0"/>
    <n v="0"/>
    <n v="0"/>
    <n v="0"/>
    <n v="0"/>
    <n v="0"/>
    <n v="0"/>
    <n v="0"/>
    <n v="0"/>
    <n v="0"/>
    <n v="0"/>
    <n v="0"/>
    <n v="0"/>
    <n v="1"/>
    <x v="0"/>
    <n v="1525971929.5623"/>
    <n v="9"/>
    <x v="0"/>
    <n v="2019"/>
    <s v="2017-2019"/>
    <n v="3.5092427195981053E-2"/>
    <n v="52609045.153046317"/>
    <n v="10273119.85028038"/>
  </r>
  <r>
    <n v="738"/>
    <n v="738"/>
    <n v="738"/>
    <n v="90"/>
    <s v="ELECMETAL.SN"/>
    <d v="2018-12-31T00:00:00"/>
    <s v="Compania Electro Metalurgica SA"/>
    <x v="2"/>
    <s v="Chile"/>
    <n v="73045081.908060893"/>
    <n v="55182138.991123602"/>
    <n v="541581678.57400596"/>
    <n v="0.10189070490054079"/>
    <n v="3.7567828129335637E-2"/>
    <n v="1468866893.2669401"/>
    <n v="2018"/>
    <n v="0"/>
    <n v="0"/>
    <s v="ELEC"/>
    <n v="0"/>
    <n v="0"/>
    <n v="0"/>
    <n v="0"/>
    <n v="0"/>
    <n v="0"/>
    <n v="0"/>
    <n v="0"/>
    <n v="0"/>
    <n v="0"/>
    <n v="0"/>
    <n v="0"/>
    <n v="0"/>
    <n v="0"/>
    <n v="1"/>
    <x v="0"/>
    <n v="1525971929.5623"/>
    <n v="9"/>
    <x v="0"/>
    <n v="2018"/>
    <s v="2017-2019"/>
    <n v="3.5092427195981053E-2"/>
    <n v="51546104.51255697"/>
    <n v="21498977.39550392"/>
  </r>
  <r>
    <n v="739"/>
    <n v="739"/>
    <n v="739"/>
    <n v="91"/>
    <s v="ELECMETAL.SN"/>
    <d v="2017-12-31T00:00:00"/>
    <s v="Compania Electro Metalurgica SA"/>
    <x v="2"/>
    <s v="Chile"/>
    <n v="177797403.400309"/>
    <n v="138929045.79842201"/>
    <n v="558571121.77662098"/>
    <n v="0.24872221348740139"/>
    <n v="9.0350941048044281E-2"/>
    <n v="1537660196.8599999"/>
    <n v="2017"/>
    <n v="0"/>
    <n v="0"/>
    <s v="ELEC"/>
    <n v="0"/>
    <n v="0"/>
    <n v="0"/>
    <n v="0"/>
    <n v="0"/>
    <n v="0"/>
    <n v="0"/>
    <n v="0"/>
    <n v="0"/>
    <n v="0"/>
    <n v="0"/>
    <n v="0"/>
    <n v="0"/>
    <n v="0"/>
    <n v="1"/>
    <x v="0"/>
    <n v="1525971929.5623"/>
    <n v="9"/>
    <x v="0"/>
    <n v="2017"/>
    <s v="2017-2019"/>
    <n v="3.5092427195981053E-2"/>
    <n v="53960228.51046744"/>
    <n v="123837174.8898416"/>
  </r>
  <r>
    <n v="740"/>
    <n v="740"/>
    <n v="740"/>
    <n v="92"/>
    <s v="ELECMETAL.SN"/>
    <d v="2016-12-31T00:00:00"/>
    <s v="Compania Electro Metalurgica SA"/>
    <x v="2"/>
    <s v="Chile"/>
    <n v="90895469.826233804"/>
    <n v="72478663.957327902"/>
    <n v="479789360.366956"/>
    <n v="0.1510635081651128"/>
    <n v="5.3314143650363202E-2"/>
    <n v="1359464093.2928901"/>
    <n v="2016"/>
    <n v="0"/>
    <n v="0"/>
    <s v="ELEC"/>
    <n v="0"/>
    <n v="0"/>
    <n v="0"/>
    <n v="0"/>
    <n v="0"/>
    <n v="0"/>
    <n v="0"/>
    <n v="0"/>
    <n v="0"/>
    <n v="0"/>
    <n v="0"/>
    <n v="0"/>
    <n v="0"/>
    <n v="0"/>
    <n v="1"/>
    <x v="0"/>
    <n v="1525971929.5623"/>
    <n v="9"/>
    <x v="0"/>
    <n v="2016"/>
    <s v="2013-2016"/>
    <n v="3.5494312143141332E-2"/>
    <n v="48253242.874730453"/>
    <n v="42642226.951503359"/>
  </r>
  <r>
    <n v="741"/>
    <n v="741"/>
    <n v="741"/>
    <n v="93"/>
    <s v="ELECMETAL.SN"/>
    <d v="2015-12-31T00:00:00"/>
    <s v="Compania Electro Metalurgica SA"/>
    <x v="2"/>
    <s v="Chile"/>
    <n v="84771683.266228706"/>
    <n v="66007996.044359699"/>
    <n v="452484286.21883202"/>
    <n v="0.14587909029052271"/>
    <n v="5.2905336668797917E-2"/>
    <n v="1247662338.0659699"/>
    <n v="2015"/>
    <n v="0"/>
    <n v="0"/>
    <s v="ELEC"/>
    <n v="0"/>
    <n v="0"/>
    <n v="0"/>
    <n v="0"/>
    <n v="0"/>
    <n v="0"/>
    <n v="0"/>
    <n v="0"/>
    <n v="0"/>
    <n v="0"/>
    <n v="0"/>
    <n v="0"/>
    <n v="0"/>
    <n v="0"/>
    <n v="1"/>
    <x v="0"/>
    <n v="1525971929.5623"/>
    <n v="9"/>
    <x v="0"/>
    <n v="2015"/>
    <s v="2013-2016"/>
    <n v="3.5494312143141332E-2"/>
    <n v="44284916.476555057"/>
    <n v="40486766.789673641"/>
  </r>
  <r>
    <n v="742"/>
    <n v="742"/>
    <n v="742"/>
    <n v="94"/>
    <s v="ELECMETAL.SN"/>
    <d v="2014-12-31T00:00:00"/>
    <s v="Compania Electro Metalurgica SA"/>
    <x v="2"/>
    <s v="Chile"/>
    <n v="111080400.725594"/>
    <n v="84792166.886543497"/>
    <n v="486351433.04749298"/>
    <n v="0.17434340915833879"/>
    <n v="6.4378979694695429E-2"/>
    <n v="1317078451.5171499"/>
    <n v="2014"/>
    <n v="0"/>
    <n v="0"/>
    <s v="ELEC"/>
    <n v="0"/>
    <n v="0"/>
    <n v="0"/>
    <n v="0"/>
    <n v="0"/>
    <n v="0"/>
    <n v="0"/>
    <n v="0"/>
    <n v="0"/>
    <n v="0"/>
    <n v="0"/>
    <n v="0"/>
    <n v="0"/>
    <n v="0"/>
    <n v="1"/>
    <x v="0"/>
    <n v="1525971929.5623"/>
    <n v="9"/>
    <x v="0"/>
    <n v="2014"/>
    <s v="2013-2016"/>
    <n v="3.5494312143141332E-2"/>
    <n v="46748793.675154947"/>
    <n v="64331607.050439037"/>
  </r>
  <r>
    <n v="743"/>
    <n v="743"/>
    <n v="743"/>
    <n v="95"/>
    <s v="ELECMETAL.SN"/>
    <d v="2013-12-31T00:00:00"/>
    <s v="Compania Electro Metalurgica SA"/>
    <x v="2"/>
    <s v="Chile"/>
    <n v="118729687.79744899"/>
    <n v="88462392.918332398"/>
    <n v="509146480.10660601"/>
    <n v="0.17374644895867691"/>
    <n v="6.2476248296294931E-2"/>
    <n v="1415936381.11555"/>
    <n v="2013"/>
    <n v="0"/>
    <n v="0"/>
    <s v="ELEC"/>
    <n v="0"/>
    <n v="0"/>
    <n v="72500000"/>
    <n v="0"/>
    <s v="ELECM"/>
    <n v="0"/>
    <n v="1"/>
    <n v="0"/>
    <n v="1"/>
    <n v="0"/>
    <s v="ELEC"/>
    <n v="0"/>
    <n v="0"/>
    <n v="0"/>
    <n v="1"/>
    <x v="0"/>
    <n v="1525971929.5623"/>
    <n v="9"/>
    <x v="0"/>
    <n v="2013"/>
    <s v="2013-2016"/>
    <n v="3.5494312143141332E-2"/>
    <n v="50257687.886145256"/>
    <n v="68471999.911303729"/>
  </r>
  <r>
    <n v="799"/>
    <n v="799"/>
    <n v="799"/>
    <n v="153"/>
    <s v="VAPORES.SN"/>
    <d v="2023-12-31T00:00:00"/>
    <s v="Compania Sud Americana de Vapores SA"/>
    <x v="4"/>
    <s v="Chile"/>
    <n v="935497000"/>
    <n v="258099000"/>
    <n v="8088551000"/>
    <n v="3.1909176316005178E-2"/>
    <n v="3.1214137918648702E-2"/>
    <n v="8268657000"/>
    <n v="2023"/>
    <n v="0"/>
    <n v="0"/>
    <s v="VAPO"/>
    <n v="0"/>
    <n v="0"/>
    <n v="0"/>
    <n v="0"/>
    <n v="0"/>
    <n v="0"/>
    <n v="0"/>
    <n v="0"/>
    <n v="0"/>
    <n v="0"/>
    <n v="0"/>
    <n v="0"/>
    <n v="0"/>
    <n v="0"/>
    <n v="2"/>
    <x v="0"/>
    <n v="3968114181.8181801"/>
    <n v="10"/>
    <x v="0"/>
    <n v="2023"/>
    <s v="2020-2023"/>
    <n v="5.4677413288106429E-2"/>
    <n v="452108776.12659419"/>
    <n v="483388223.87340581"/>
  </r>
  <r>
    <n v="800"/>
    <n v="800"/>
    <n v="800"/>
    <n v="154"/>
    <s v="VAPORES.SN"/>
    <d v="2022-12-31T00:00:00"/>
    <s v="Compania Sud Americana de Vapores SA"/>
    <x v="4"/>
    <s v="Chile"/>
    <n v="5314116000"/>
    <n v="5563278000"/>
    <n v="7914497000"/>
    <n v="0.70292249779107885"/>
    <n v="0.54030374177821261"/>
    <n v="10296575000"/>
    <n v="2022"/>
    <n v="0"/>
    <n v="0"/>
    <s v="VAPO"/>
    <n v="0"/>
    <n v="0"/>
    <n v="0"/>
    <n v="0"/>
    <n v="0"/>
    <n v="0"/>
    <n v="0"/>
    <n v="0"/>
    <n v="0"/>
    <n v="0"/>
    <n v="0"/>
    <n v="0"/>
    <n v="0"/>
    <n v="0"/>
    <n v="2"/>
    <x v="0"/>
    <n v="3968114181.8181801"/>
    <n v="10"/>
    <x v="0"/>
    <n v="2022"/>
    <s v="2020-2023"/>
    <n v="5.4677413288106429E-2"/>
    <n v="562990086.7269845"/>
    <n v="4751125913.273016"/>
  </r>
  <r>
    <n v="801"/>
    <n v="801"/>
    <n v="801"/>
    <n v="155"/>
    <s v="VAPORES.SN"/>
    <d v="2021-12-31T00:00:00"/>
    <s v="Compania Sud Americana de Vapores SA"/>
    <x v="4"/>
    <s v="Chile"/>
    <n v="3177104000"/>
    <n v="3210070000"/>
    <n v="4882669000"/>
    <n v="0.65744165742138161"/>
    <n v="0.53277330840694626"/>
    <n v="6025208000"/>
    <n v="2021"/>
    <n v="0"/>
    <n v="0"/>
    <s v="VAPO"/>
    <n v="0"/>
    <n v="0"/>
    <n v="0"/>
    <n v="0"/>
    <n v="0"/>
    <n v="0"/>
    <n v="0"/>
    <n v="0"/>
    <n v="0"/>
    <n v="0"/>
    <n v="0"/>
    <n v="0"/>
    <n v="0"/>
    <n v="0"/>
    <n v="2"/>
    <x v="0"/>
    <n v="3968114181.8181801"/>
    <n v="10"/>
    <x v="0"/>
    <n v="2021"/>
    <s v="2020-2023"/>
    <n v="5.4677413288106429E-2"/>
    <n v="329442787.96280521"/>
    <n v="2847661212.0371952"/>
  </r>
  <r>
    <n v="802"/>
    <n v="802"/>
    <n v="802"/>
    <n v="156"/>
    <s v="VAPORES.SN"/>
    <d v="2020-12-31T00:00:00"/>
    <s v="Compania Sud Americana de Vapores SA"/>
    <x v="4"/>
    <s v="Chile"/>
    <n v="278297000"/>
    <n v="222765000"/>
    <n v="2722932000"/>
    <n v="8.1810709925918088E-2"/>
    <n v="7.3373732556178586E-2"/>
    <n v="3036032000"/>
    <n v="2020"/>
    <n v="0"/>
    <n v="0"/>
    <s v="VAPO"/>
    <n v="0"/>
    <n v="0"/>
    <n v="0"/>
    <n v="0"/>
    <n v="0"/>
    <n v="0"/>
    <n v="0"/>
    <n v="0"/>
    <n v="0"/>
    <n v="0"/>
    <n v="0"/>
    <n v="0"/>
    <n v="0"/>
    <n v="0"/>
    <n v="2"/>
    <x v="0"/>
    <n v="3968114181.8181801"/>
    <n v="10"/>
    <x v="0"/>
    <n v="2020"/>
    <s v="2020-2023"/>
    <n v="5.4677413288106429E-2"/>
    <n v="166002376.4199163"/>
    <n v="112294623.5800837"/>
  </r>
  <r>
    <n v="803"/>
    <n v="803"/>
    <n v="803"/>
    <n v="157"/>
    <s v="VAPORES.SN"/>
    <d v="2019-12-31T00:00:00"/>
    <s v="Compania Sud Americana de Vapores SA"/>
    <x v="4"/>
    <s v="Chile"/>
    <n v="130450000"/>
    <n v="130300000"/>
    <n v="2224187000"/>
    <n v="5.8583203660483578E-2"/>
    <n v="5.1760163344429518E-2"/>
    <n v="2517380000"/>
    <n v="2019"/>
    <n v="0"/>
    <n v="0"/>
    <s v="VAPO"/>
    <n v="0"/>
    <n v="0"/>
    <n v="100000000"/>
    <n v="0"/>
    <s v="VAPOR"/>
    <n v="0"/>
    <n v="1"/>
    <n v="0"/>
    <n v="1"/>
    <n v="0"/>
    <s v="VAPO"/>
    <n v="0"/>
    <n v="0"/>
    <n v="0"/>
    <n v="2"/>
    <x v="0"/>
    <n v="3968114181.8181801"/>
    <n v="10"/>
    <x v="0"/>
    <n v="2019"/>
    <s v="2017-2019"/>
    <n v="3.0717388517610751E-2"/>
    <n v="77327339.506462961"/>
    <n v="53122660.493537039"/>
  </r>
  <r>
    <n v="804"/>
    <n v="804"/>
    <n v="804"/>
    <n v="158"/>
    <s v="VAPORES.SN"/>
    <d v="2018-12-31T00:00:00"/>
    <s v="Compania Sud Americana de Vapores SA"/>
    <x v="4"/>
    <s v="Chile"/>
    <n v="11609000"/>
    <n v="18701000"/>
    <n v="2130203000"/>
    <n v="8.7789755248678172E-3"/>
    <n v="8.2825592359548374E-3"/>
    <n v="2257877000"/>
    <n v="2018"/>
    <n v="0"/>
    <n v="0"/>
    <s v="VAPO"/>
    <n v="0"/>
    <n v="0"/>
    <n v="0"/>
    <n v="0"/>
    <n v="0"/>
    <n v="0"/>
    <n v="0"/>
    <n v="0"/>
    <n v="0"/>
    <n v="0"/>
    <n v="0"/>
    <n v="0"/>
    <n v="0"/>
    <n v="0"/>
    <n v="2"/>
    <x v="0"/>
    <n v="3968114181.8181801"/>
    <n v="10"/>
    <x v="0"/>
    <n v="2018"/>
    <s v="2017-2019"/>
    <n v="3.0717388517610751E-2"/>
    <n v="69356085.033977419"/>
    <n v="-57747085.033977419"/>
  </r>
  <r>
    <n v="805"/>
    <n v="805"/>
    <n v="805"/>
    <n v="159"/>
    <s v="VAPORES.SN"/>
    <d v="2017-12-31T00:00:00"/>
    <s v="Compania Sud Americana de Vapores SA"/>
    <x v="4"/>
    <s v="Chile"/>
    <n v="-141617000"/>
    <n v="-186830000"/>
    <n v="2117457000"/>
    <n v="-8.8233196707182243E-2"/>
    <n v="-8.2450559673498791E-2"/>
    <n v="2265964000"/>
    <n v="2017"/>
    <n v="0"/>
    <n v="0"/>
    <s v="VAPO"/>
    <n v="0"/>
    <n v="0"/>
    <n v="0"/>
    <n v="0"/>
    <n v="0"/>
    <n v="0"/>
    <n v="0"/>
    <n v="0"/>
    <n v="0"/>
    <n v="0"/>
    <n v="0"/>
    <n v="0"/>
    <n v="0"/>
    <n v="0"/>
    <n v="2"/>
    <x v="0"/>
    <n v="3968114181.8181801"/>
    <n v="10"/>
    <x v="0"/>
    <n v="2017"/>
    <s v="2017-2019"/>
    <n v="3.0717388517610751E-2"/>
    <n v="69604496.554919332"/>
    <n v="-211221496.5549193"/>
  </r>
  <r>
    <n v="806"/>
    <n v="806"/>
    <n v="806"/>
    <n v="160"/>
    <s v="VAPORES.SN"/>
    <d v="2016-12-31T00:00:00"/>
    <s v="Compania Sud Americana de Vapores SA"/>
    <x v="4"/>
    <s v="Chile"/>
    <n v="-3036000"/>
    <n v="-23634000"/>
    <n v="2006464000"/>
    <n v="-1.1778930496634881E-2"/>
    <n v="-1.0900492076457491E-2"/>
    <n v="2168159000"/>
    <n v="2016"/>
    <n v="0"/>
    <n v="0"/>
    <s v="VAPO"/>
    <n v="0"/>
    <n v="0"/>
    <n v="50000000"/>
    <n v="0"/>
    <s v="VAPOR"/>
    <n v="0"/>
    <n v="1"/>
    <n v="0"/>
    <n v="1"/>
    <n v="0"/>
    <s v="VAPO"/>
    <n v="0"/>
    <n v="0"/>
    <n v="0"/>
    <n v="2"/>
    <x v="0"/>
    <n v="3968114181.8181801"/>
    <n v="10"/>
    <x v="0"/>
    <n v="2016"/>
    <s v="2013-2016"/>
    <n v="4.6522305896109353E-2"/>
    <n v="100867756.2294026"/>
    <n v="-103903756.2294026"/>
  </r>
  <r>
    <n v="807"/>
    <n v="807"/>
    <n v="807"/>
    <n v="161"/>
    <s v="VAPORES.SN"/>
    <d v="2015-12-31T00:00:00"/>
    <s v="Compania Sud Americana de Vapores SA"/>
    <x v="4"/>
    <s v="Chile"/>
    <n v="-20351000"/>
    <n v="-14256000"/>
    <n v="2042430000"/>
    <n v="-6.9799209764838943E-3"/>
    <n v="-6.4051240992794231E-3"/>
    <n v="2225718000"/>
    <n v="2015"/>
    <n v="0"/>
    <n v="0"/>
    <s v="VAPO"/>
    <n v="0"/>
    <n v="0"/>
    <n v="0"/>
    <n v="0"/>
    <n v="0"/>
    <n v="0"/>
    <n v="0"/>
    <n v="0"/>
    <n v="0"/>
    <n v="0"/>
    <n v="0"/>
    <n v="0"/>
    <n v="0"/>
    <n v="0"/>
    <n v="2"/>
    <x v="0"/>
    <n v="3968114181.8181801"/>
    <n v="10"/>
    <x v="0"/>
    <n v="2015"/>
    <s v="2013-2016"/>
    <n v="4.6522305896109353E-2"/>
    <n v="103545533.63447671"/>
    <n v="-123896533.63447671"/>
  </r>
  <r>
    <n v="808"/>
    <n v="808"/>
    <n v="808"/>
    <n v="162"/>
    <s v="VAPORES.SN"/>
    <d v="2014-12-31T00:00:00"/>
    <s v="Compania Sud Americana de Vapores SA"/>
    <x v="4"/>
    <s v="Chile"/>
    <n v="747530000"/>
    <n v="620071000"/>
    <n v="1890067000"/>
    <n v="0.3280682642467172"/>
    <n v="0.28050238558057122"/>
    <n v="2210573000"/>
    <n v="2014"/>
    <n v="0"/>
    <n v="0"/>
    <s v="VAPO"/>
    <n v="0"/>
    <n v="0"/>
    <n v="0"/>
    <n v="0"/>
    <n v="0"/>
    <n v="0"/>
    <n v="0"/>
    <n v="0"/>
    <n v="0"/>
    <n v="0"/>
    <n v="0"/>
    <n v="0"/>
    <n v="0"/>
    <n v="0"/>
    <n v="2"/>
    <x v="0"/>
    <n v="3968114181.8181801"/>
    <n v="10"/>
    <x v="0"/>
    <n v="2014"/>
    <s v="2013-2016"/>
    <n v="4.6522305896109353E-2"/>
    <n v="102840953.31168009"/>
    <n v="644689046.68831992"/>
  </r>
  <r>
    <n v="809"/>
    <n v="809"/>
    <n v="809"/>
    <n v="163"/>
    <s v="VAPORES.SN"/>
    <d v="2013-12-31T00:00:00"/>
    <s v="Compania Sud Americana de Vapores SA"/>
    <x v="4"/>
    <s v="Chile"/>
    <n v="3081000"/>
    <n v="46206000"/>
    <n v="1016423000"/>
    <n v="4.5459419946223177E-2"/>
    <n v="1.943786433375275E-2"/>
    <n v="2377113000"/>
    <n v="2013"/>
    <n v="0"/>
    <n v="0"/>
    <s v="VAPO"/>
    <n v="0"/>
    <n v="0"/>
    <n v="0"/>
    <n v="0"/>
    <n v="0"/>
    <n v="0"/>
    <n v="0"/>
    <n v="0"/>
    <n v="0"/>
    <n v="0"/>
    <n v="0"/>
    <n v="0"/>
    <n v="0"/>
    <n v="0"/>
    <n v="2"/>
    <x v="0"/>
    <n v="3968114181.8181801"/>
    <n v="10"/>
    <x v="0"/>
    <n v="2013"/>
    <s v="2013-2016"/>
    <n v="4.6522305896109353E-2"/>
    <n v="110588778.13561819"/>
    <n v="-107507778.13561819"/>
  </r>
  <r>
    <n v="887"/>
    <n v="887"/>
    <n v="887"/>
    <n v="18100"/>
    <n v="4296497965"/>
    <d v="2023-12-31T00:00:00"/>
    <s v="Corporacion Nacional del Cobre de Chile"/>
    <x v="1"/>
    <s v="Chile"/>
    <n v="-99.037000000000006"/>
    <n v="66.879000000000005"/>
    <n v="10349.695"/>
    <n v="6.4619295544458078E-3"/>
    <n v="1.42671401516606E-3"/>
    <n v="46876.248"/>
    <n v="2023"/>
    <n v="0"/>
    <n v="0"/>
    <n v="4296"/>
    <n v="0"/>
    <n v="0"/>
    <n v="0"/>
    <n v="3400000000"/>
    <s v="COBRE"/>
    <n v="0"/>
    <n v="1"/>
    <n v="0"/>
    <n v="0"/>
    <n v="1"/>
    <s v="COBR"/>
    <n v="0"/>
    <n v="0"/>
    <n v="0"/>
    <n v="9"/>
    <x v="0"/>
    <n v="38728.239272727202"/>
    <n v="5"/>
    <x v="0"/>
    <n v="2023"/>
    <s v="2020-2023"/>
    <n v="-3.8963866899207919E-3"/>
    <n v="-182.64798878062621"/>
    <n v="83.610988780626144"/>
  </r>
  <r>
    <n v="888"/>
    <n v="888"/>
    <n v="888"/>
    <n v="18101"/>
    <n v="4296497965"/>
    <d v="2022-12-31T00:00:00"/>
    <s v="Corporacion Nacional del Cobre de Chile"/>
    <x v="1"/>
    <s v="Chile"/>
    <n v="1443.25"/>
    <n v="309.58"/>
    <n v="10740.482"/>
    <n v="2.882365986926844E-2"/>
    <n v="6.9199632198970193E-3"/>
    <n v="44737.232000000004"/>
    <n v="2022"/>
    <n v="0"/>
    <n v="0"/>
    <n v="4296"/>
    <n v="0"/>
    <n v="0"/>
    <n v="0"/>
    <n v="0"/>
    <n v="0"/>
    <n v="0"/>
    <n v="0"/>
    <n v="0"/>
    <n v="0"/>
    <n v="0"/>
    <n v="0"/>
    <n v="0"/>
    <n v="0"/>
    <n v="0"/>
    <n v="9"/>
    <x v="0"/>
    <n v="38728.239272727202"/>
    <n v="5"/>
    <x v="0"/>
    <n v="2022"/>
    <s v="2020-2023"/>
    <n v="-3.8963866899207919E-3"/>
    <n v="-174.3135553086986"/>
    <n v="1617.5635553086991"/>
  </r>
  <r>
    <n v="889"/>
    <n v="889"/>
    <n v="889"/>
    <n v="18102"/>
    <n v="4296497965"/>
    <d v="2021-12-31T00:00:00"/>
    <s v="Corporacion Nacional del Cobre de Chile"/>
    <x v="1"/>
    <s v="Chile"/>
    <n v="5491.8590000000004"/>
    <n v="1636.5229999999999"/>
    <n v="10628.489"/>
    <n v="0.15397513230714169"/>
    <n v="3.8007907345154211E-2"/>
    <n v="43057.434999999998"/>
    <n v="2021"/>
    <n v="0"/>
    <n v="0"/>
    <n v="4296"/>
    <n v="0"/>
    <n v="0"/>
    <n v="0"/>
    <n v="780000000"/>
    <s v="COBRE"/>
    <n v="0"/>
    <n v="1"/>
    <n v="0"/>
    <n v="0"/>
    <n v="1"/>
    <s v="COBR"/>
    <n v="0"/>
    <n v="0"/>
    <n v="0"/>
    <n v="9"/>
    <x v="0"/>
    <n v="38728.239272727202"/>
    <n v="5"/>
    <x v="0"/>
    <n v="2021"/>
    <s v="2020-2023"/>
    <n v="-3.8963866899207919E-3"/>
    <n v="-167.7684166361297"/>
    <n v="5659.62741663613"/>
  </r>
  <r>
    <n v="890"/>
    <n v="890"/>
    <n v="890"/>
    <n v="18103"/>
    <n v="4296497965"/>
    <d v="2020-12-31T00:00:00"/>
    <s v="Corporacion Nacional del Cobre de Chile"/>
    <x v="1"/>
    <s v="Chile"/>
    <n v="1004.448"/>
    <n v="217.44499999999999"/>
    <n v="10701.549000000001"/>
    <n v="2.031902110619687E-2"/>
    <n v="5.15145727404625E-3"/>
    <n v="42210.385999999999"/>
    <n v="2020"/>
    <n v="0"/>
    <n v="0"/>
    <n v="4296"/>
    <n v="0"/>
    <n v="500000000"/>
    <n v="0"/>
    <n v="2800000000"/>
    <s v="COBRE"/>
    <n v="0"/>
    <n v="1"/>
    <n v="1"/>
    <n v="0"/>
    <n v="1"/>
    <s v="COBR"/>
    <n v="0"/>
    <n v="0"/>
    <n v="0"/>
    <n v="9"/>
    <x v="0"/>
    <n v="38728.239272727202"/>
    <n v="5"/>
    <x v="0"/>
    <n v="2020"/>
    <s v="2020-2023"/>
    <n v="-3.8963866899207919E-3"/>
    <n v="-164.46798618681899"/>
    <n v="1168.9159861868191"/>
  </r>
  <r>
    <n v="891"/>
    <n v="891"/>
    <n v="891"/>
    <n v="18104"/>
    <n v="4296497965"/>
    <d v="2019-12-31T00:00:00"/>
    <s v="Corporacion Nacional del Cobre de Chile"/>
    <x v="1"/>
    <s v="Chile"/>
    <n v="394.57"/>
    <n v="1.325"/>
    <n v="10714.91"/>
    <n v="1.236594614420466E-4"/>
    <n v="3.2842056650391302E-5"/>
    <n v="40344.610999999997"/>
    <n v="2019"/>
    <n v="0"/>
    <n v="0"/>
    <n v="4296"/>
    <n v="0"/>
    <n v="194113249"/>
    <n v="0"/>
    <n v="5126920978"/>
    <s v="COBRE"/>
    <n v="0"/>
    <n v="1"/>
    <n v="1"/>
    <n v="0"/>
    <n v="1"/>
    <s v="COBR"/>
    <n v="0"/>
    <n v="0"/>
    <n v="0"/>
    <n v="9"/>
    <x v="0"/>
    <n v="38728.239272727202"/>
    <n v="5"/>
    <x v="0"/>
    <n v="2019"/>
    <s v="2017-2019"/>
    <n v="-8.5563410842011498E-3"/>
    <n v="-345.20225262541362"/>
    <n v="739.77225262541356"/>
  </r>
  <r>
    <n v="892"/>
    <n v="892"/>
    <n v="892"/>
    <n v="18105"/>
    <n v="4296497965"/>
    <d v="2018-12-31T00:00:00"/>
    <s v="Corporacion Nacional del Cobre de Chile"/>
    <x v="1"/>
    <s v="Chile"/>
    <n v="427.916"/>
    <n v="70.632999999999996"/>
    <n v="10374.665000000001"/>
    <n v="6.8082198316764906E-3"/>
    <n v="1.9043264226807691E-3"/>
    <n v="37090.805"/>
    <n v="2018"/>
    <n v="0"/>
    <n v="0"/>
    <n v="4296"/>
    <n v="0"/>
    <n v="0"/>
    <n v="0"/>
    <n v="600000000"/>
    <s v="COBRE"/>
    <n v="0"/>
    <n v="1"/>
    <n v="0"/>
    <n v="0"/>
    <n v="1"/>
    <s v="COBR"/>
    <n v="0"/>
    <n v="0"/>
    <n v="0"/>
    <n v="9"/>
    <x v="0"/>
    <n v="38728.239272727202"/>
    <n v="5"/>
    <x v="0"/>
    <n v="2018"/>
    <s v="2017-2019"/>
    <n v="-8.5563410842011498E-3"/>
    <n v="-317.36157866759339"/>
    <n v="745.27757866759339"/>
  </r>
  <r>
    <n v="893"/>
    <n v="893"/>
    <n v="893"/>
    <n v="18106"/>
    <n v="4296497965"/>
    <d v="2017-12-31T00:00:00"/>
    <s v="Corporacion Nacional del Cobre de Chile"/>
    <x v="1"/>
    <s v="Chile"/>
    <n v="1631.241"/>
    <n v="438.17399999999998"/>
    <n v="9917.8430000000008"/>
    <n v="4.4180372687891913E-2"/>
    <n v="1.2052269243867221E-2"/>
    <n v="36356.141000000003"/>
    <n v="2017"/>
    <n v="0"/>
    <n v="0"/>
    <n v="4296"/>
    <n v="0"/>
    <n v="0"/>
    <n v="0"/>
    <n v="2750000000"/>
    <s v="COBRE"/>
    <n v="0"/>
    <n v="1"/>
    <n v="0"/>
    <n v="0"/>
    <n v="1"/>
    <s v="COBR"/>
    <n v="0"/>
    <n v="0"/>
    <n v="0"/>
    <n v="9"/>
    <x v="0"/>
    <n v="38728.239272727202"/>
    <n v="5"/>
    <x v="0"/>
    <n v="2017"/>
    <s v="2017-2019"/>
    <n v="-8.5563410842011498E-3"/>
    <n v="-311.07554290130992"/>
    <n v="1942.31654290131"/>
  </r>
  <r>
    <n v="894"/>
    <n v="894"/>
    <n v="894"/>
    <n v="18107"/>
    <n v="4296497965"/>
    <d v="2016-12-31T00:00:00"/>
    <s v="Corporacion Nacional del Cobre de Chile"/>
    <x v="1"/>
    <s v="Chile"/>
    <n v="-253.31800000000001"/>
    <n v="-156.22200000000001"/>
    <n v="8911.7430000000004"/>
    <n v="-1.7529904082736681E-2"/>
    <n v="-4.6743482341859779E-3"/>
    <n v="33421.129999999997"/>
    <n v="2016"/>
    <n v="0"/>
    <n v="0"/>
    <n v="4296"/>
    <n v="0"/>
    <n v="0"/>
    <n v="0"/>
    <n v="0"/>
    <n v="0"/>
    <n v="0"/>
    <n v="0"/>
    <n v="0"/>
    <n v="0"/>
    <n v="0"/>
    <n v="0"/>
    <n v="0"/>
    <n v="0"/>
    <n v="0"/>
    <n v="9"/>
    <x v="0"/>
    <n v="38728.239272727202"/>
    <n v="5"/>
    <x v="0"/>
    <n v="2016"/>
    <s v="2013-2016"/>
    <n v="1.8725788236665511E-4"/>
    <n v="6.2583700301006884"/>
    <n v="-259.57637003010069"/>
  </r>
  <r>
    <n v="895"/>
    <n v="895"/>
    <n v="895"/>
    <n v="18108"/>
    <n v="4296497965"/>
    <d v="2015-12-31T00:00:00"/>
    <s v="Corporacion Nacional del Cobre de Chile"/>
    <x v="1"/>
    <s v="Chile"/>
    <n v="-554.52499999999998"/>
    <n v="173.87299999999999"/>
    <n v="8689.9660000000003"/>
    <n v="2.0008478744335711E-2"/>
    <n v="5.220640857362944E-3"/>
    <n v="33304.915000000001"/>
    <n v="2015"/>
    <n v="0"/>
    <n v="0"/>
    <n v="4296"/>
    <n v="0"/>
    <n v="0"/>
    <n v="0"/>
    <n v="2000000000"/>
    <s v="COBRE"/>
    <n v="0"/>
    <n v="1"/>
    <n v="0"/>
    <n v="0"/>
    <n v="1"/>
    <s v="COBR"/>
    <n v="0"/>
    <n v="0"/>
    <n v="0"/>
    <n v="9"/>
    <x v="0"/>
    <n v="38728.239272727202"/>
    <n v="5"/>
    <x v="0"/>
    <n v="2015"/>
    <s v="2013-2016"/>
    <n v="1.8725788236665511E-4"/>
    <n v="6.2366078553014486"/>
    <n v="-560.76160785530146"/>
  </r>
  <r>
    <n v="896"/>
    <n v="896"/>
    <n v="896"/>
    <n v="18109"/>
    <n v="4296497965"/>
    <d v="2014-12-31T00:00:00"/>
    <s v="Corporacion Nacional del Cobre de Chile"/>
    <x v="1"/>
    <s v="Chile"/>
    <n v="1703.7429999999999"/>
    <n v="462.92"/>
    <n v="9661.777"/>
    <n v="4.7912511332025162E-2"/>
    <n v="1.313003654411493E-2"/>
    <n v="35256.565999999999"/>
    <n v="2014"/>
    <n v="0"/>
    <n v="0"/>
    <n v="4296"/>
    <n v="0"/>
    <n v="0"/>
    <n v="0"/>
    <n v="2304015279"/>
    <s v="COBRE"/>
    <n v="0"/>
    <n v="1"/>
    <n v="0"/>
    <n v="0"/>
    <n v="1"/>
    <s v="COBR"/>
    <n v="0"/>
    <n v="0"/>
    <n v="0"/>
    <n v="9"/>
    <x v="0"/>
    <n v="38728.239272727202"/>
    <n v="5"/>
    <x v="0"/>
    <n v="2014"/>
    <s v="2013-2016"/>
    <n v="1.8725788236665511E-4"/>
    <n v="6.6020698886802132"/>
    <n v="1697.1409301113199"/>
  </r>
  <r>
    <n v="897"/>
    <n v="897"/>
    <n v="897"/>
    <n v="18110"/>
    <n v="4296497965"/>
    <d v="2013-12-31T00:00:00"/>
    <s v="Corporacion Nacional del Cobre de Chile"/>
    <x v="1"/>
    <s v="Chile"/>
    <n v="2287.777"/>
    <n v="670.43799999999999"/>
    <n v="10360.518"/>
    <n v="6.4710857121236601E-2"/>
    <n v="2.0099976726241749E-2"/>
    <n v="33355.163"/>
    <n v="2013"/>
    <n v="0"/>
    <n v="0"/>
    <n v="4296"/>
    <n v="0"/>
    <n v="0"/>
    <n v="0"/>
    <n v="1700000000"/>
    <s v="COBRE"/>
    <n v="0"/>
    <n v="1"/>
    <n v="0"/>
    <n v="0"/>
    <n v="1"/>
    <s v="COBR"/>
    <n v="0"/>
    <n v="0"/>
    <n v="0"/>
    <n v="9"/>
    <x v="0"/>
    <n v="38728.239272727202"/>
    <n v="5"/>
    <x v="0"/>
    <n v="2013"/>
    <s v="2013-2016"/>
    <n v="1.8725788236665511E-4"/>
    <n v="6.2460171893746077"/>
    <n v="2281.530982810626"/>
  </r>
  <r>
    <n v="1038"/>
    <n v="1038"/>
    <n v="1038"/>
    <n v="2146"/>
    <s v="ANDINAB.SN"/>
    <d v="2023-12-31T00:00:00"/>
    <s v="Embotelladora Andina SA"/>
    <x v="2"/>
    <s v="Chile"/>
    <n v="295834329.64636898"/>
    <n v="198177890.708397"/>
    <n v="1006484961.0484"/>
    <n v="0.19690099542268971"/>
    <n v="5.9733095750594947E-2"/>
    <n v="3317723419.7915001"/>
    <n v="2023"/>
    <n v="0"/>
    <n v="0"/>
    <s v="ANDI"/>
    <n v="0"/>
    <n v="200259158"/>
    <n v="0"/>
    <n v="0"/>
    <s v="ANDIN"/>
    <n v="0"/>
    <n v="1"/>
    <n v="1"/>
    <n v="0"/>
    <n v="0"/>
    <s v="ANDI"/>
    <n v="0"/>
    <n v="0"/>
    <n v="0"/>
    <n v="3"/>
    <x v="0"/>
    <n v="3428406037.2332602"/>
    <n v="9"/>
    <x v="0"/>
    <n v="2023"/>
    <s v="2020-2023"/>
    <n v="3.4062668681992411E-2"/>
    <n v="113010513.6268447"/>
    <n v="182823816.01952431"/>
  </r>
  <r>
    <n v="1039"/>
    <n v="1039"/>
    <n v="1039"/>
    <n v="2147"/>
    <s v="ANDINAB.SN"/>
    <d v="2022-12-31T00:00:00"/>
    <s v="Embotelladora Andina SA"/>
    <x v="2"/>
    <s v="Chile"/>
    <n v="274597340.17456901"/>
    <n v="151520390.42226899"/>
    <n v="1008799414.95636"/>
    <n v="0.15019872947569429"/>
    <n v="4.2667473046415619E-2"/>
    <n v="3551192034.67799"/>
    <n v="2022"/>
    <n v="0"/>
    <n v="0"/>
    <s v="ANDI"/>
    <n v="0"/>
    <n v="0"/>
    <n v="0"/>
    <n v="0"/>
    <n v="0"/>
    <n v="0"/>
    <n v="0"/>
    <n v="0"/>
    <n v="0"/>
    <n v="0"/>
    <n v="0"/>
    <n v="0"/>
    <n v="0"/>
    <n v="0"/>
    <n v="3"/>
    <x v="0"/>
    <n v="3428406037.2332602"/>
    <n v="9"/>
    <x v="0"/>
    <n v="2022"/>
    <s v="2020-2023"/>
    <n v="3.4062668681992411E-2"/>
    <n v="120963077.70336691"/>
    <n v="153634262.47120211"/>
  </r>
  <r>
    <n v="1040"/>
    <n v="1040"/>
    <n v="1040"/>
    <n v="2148"/>
    <s v="ANDINAB.SN"/>
    <d v="2021-12-31T00:00:00"/>
    <s v="Embotelladora Andina SA"/>
    <x v="2"/>
    <s v="Chile"/>
    <n v="238760413.582423"/>
    <n v="184504368.46434"/>
    <n v="1264415232.05264"/>
    <n v="0.14592071005409929"/>
    <n v="5.3301420082638239E-2"/>
    <n v="3461528195.2767"/>
    <n v="2021"/>
    <n v="0"/>
    <n v="0"/>
    <s v="ANDI"/>
    <n v="0"/>
    <n v="0"/>
    <n v="0"/>
    <n v="0"/>
    <n v="0"/>
    <n v="0"/>
    <n v="0"/>
    <n v="0"/>
    <n v="0"/>
    <n v="0"/>
    <n v="0"/>
    <n v="0"/>
    <n v="0"/>
    <n v="0"/>
    <n v="3"/>
    <x v="0"/>
    <n v="3428406037.2332602"/>
    <n v="9"/>
    <x v="0"/>
    <n v="2021"/>
    <s v="2020-2023"/>
    <n v="3.4062668681992411E-2"/>
    <n v="117908888.04908539"/>
    <n v="120851525.53333759"/>
  </r>
  <r>
    <n v="1041"/>
    <n v="1041"/>
    <n v="1041"/>
    <n v="2149"/>
    <s v="ANDINAB.SN"/>
    <d v="2020-12-31T00:00:00"/>
    <s v="Embotelladora Andina SA"/>
    <x v="2"/>
    <s v="Chile"/>
    <n v="250824542.44452301"/>
    <n v="173465755.547728"/>
    <n v="1142911044.73406"/>
    <n v="0.1517753777487478"/>
    <n v="5.0291699842536883E-2"/>
    <n v="3449192532.5818901"/>
    <n v="2020"/>
    <n v="0"/>
    <n v="0"/>
    <s v="ANDI"/>
    <n v="0"/>
    <n v="0"/>
    <n v="0"/>
    <n v="300000000"/>
    <s v="ANDIN"/>
    <n v="0"/>
    <n v="1"/>
    <n v="0"/>
    <n v="0"/>
    <n v="1"/>
    <s v="ANDI"/>
    <n v="0"/>
    <n v="0"/>
    <n v="0"/>
    <n v="3"/>
    <x v="0"/>
    <n v="3428406037.2332602"/>
    <n v="9"/>
    <x v="0"/>
    <n v="2020"/>
    <s v="2020-2023"/>
    <n v="3.4062668681992411E-2"/>
    <n v="117488702.4577392"/>
    <n v="133335839.9867838"/>
  </r>
  <r>
    <n v="1042"/>
    <n v="1042"/>
    <n v="1042"/>
    <n v="2150"/>
    <s v="ANDINAB.SN"/>
    <d v="2019-12-31T00:00:00"/>
    <s v="Embotelladora Andina SA"/>
    <x v="2"/>
    <s v="Chile"/>
    <n v="314588311.37724501"/>
    <n v="233195242.84763801"/>
    <n v="1262341570.19295"/>
    <n v="0.18473228510726611"/>
    <n v="7.3295694425776436E-2"/>
    <n v="3181568094.4777098"/>
    <n v="2019"/>
    <n v="0"/>
    <n v="0"/>
    <s v="ANDI"/>
    <n v="0"/>
    <n v="0"/>
    <n v="0"/>
    <n v="0"/>
    <n v="0"/>
    <n v="0"/>
    <n v="0"/>
    <n v="0"/>
    <n v="0"/>
    <n v="0"/>
    <n v="0"/>
    <n v="0"/>
    <n v="0"/>
    <n v="0"/>
    <n v="3"/>
    <x v="0"/>
    <n v="3428406037.2332602"/>
    <n v="9"/>
    <x v="0"/>
    <n v="2019"/>
    <s v="2017-2019"/>
    <n v="3.5092427195981053E-2"/>
    <n v="111648946.7245152"/>
    <n v="202939364.65272981"/>
  </r>
  <r>
    <n v="1043"/>
    <n v="1043"/>
    <n v="1043"/>
    <n v="2151"/>
    <s v="ANDINAB.SN"/>
    <d v="2018-12-31T00:00:00"/>
    <s v="Embotelladora Andina SA"/>
    <x v="2"/>
    <s v="Chile"/>
    <n v="220849535.97459799"/>
    <n v="140652011.25784799"/>
    <n v="1217887170.3831999"/>
    <n v="0.1154885400538317"/>
    <n v="4.4005662523119667E-2"/>
    <n v="3196225285.4153099"/>
    <n v="2018"/>
    <n v="0"/>
    <n v="0"/>
    <s v="ANDI"/>
    <n v="0"/>
    <n v="0"/>
    <n v="0"/>
    <n v="0"/>
    <n v="0"/>
    <n v="0"/>
    <n v="0"/>
    <n v="0"/>
    <n v="0"/>
    <n v="0"/>
    <n v="0"/>
    <n v="0"/>
    <n v="0"/>
    <n v="0"/>
    <n v="3"/>
    <x v="0"/>
    <n v="3428406037.2332602"/>
    <n v="9"/>
    <x v="0"/>
    <n v="2018"/>
    <s v="2017-2019"/>
    <n v="3.5092427195981053E-2"/>
    <n v="112163303.1303905"/>
    <n v="108686232.8442075"/>
  </r>
  <r>
    <n v="1044"/>
    <n v="1044"/>
    <n v="1044"/>
    <n v="2152"/>
    <s v="ANDINAB.SN"/>
    <d v="2017-12-31T00:00:00"/>
    <s v="Embotelladora Andina SA"/>
    <x v="2"/>
    <s v="Chile"/>
    <n v="277879051.49271899"/>
    <n v="193607296.83559799"/>
    <n v="1287415693.4841001"/>
    <n v="0.15038444677619511"/>
    <n v="5.6268857036069132E-2"/>
    <n v="3440754034.0030899"/>
    <n v="2017"/>
    <n v="0"/>
    <n v="0"/>
    <s v="ANDI"/>
    <n v="0"/>
    <n v="0"/>
    <n v="0"/>
    <n v="0"/>
    <n v="0"/>
    <n v="0"/>
    <n v="0"/>
    <n v="0"/>
    <n v="0"/>
    <n v="0"/>
    <n v="0"/>
    <n v="0"/>
    <n v="0"/>
    <n v="0"/>
    <n v="3"/>
    <x v="0"/>
    <n v="3428406037.2332602"/>
    <n v="9"/>
    <x v="0"/>
    <n v="2017"/>
    <s v="2017-2019"/>
    <n v="3.5092427195981053E-2"/>
    <n v="120744410.4375315"/>
    <n v="157134641.05518749"/>
  </r>
  <r>
    <n v="1045"/>
    <n v="1045"/>
    <n v="1045"/>
    <n v="2153"/>
    <s v="ANDINAB.SN"/>
    <d v="2016-12-31T00:00:00"/>
    <s v="Embotelladora Andina SA"/>
    <x v="2"/>
    <s v="Chile"/>
    <n v="210456161.00644001"/>
    <n v="137532476.20612901"/>
    <n v="1226083733.5086401"/>
    <n v="0.112172172623608"/>
    <n v="4.1857443051931537E-2"/>
    <n v="3285735252.28227"/>
    <n v="2016"/>
    <n v="0"/>
    <n v="0"/>
    <s v="ANDI"/>
    <n v="0"/>
    <n v="0"/>
    <n v="0"/>
    <n v="0"/>
    <n v="0"/>
    <n v="0"/>
    <n v="0"/>
    <n v="0"/>
    <n v="0"/>
    <n v="0"/>
    <n v="0"/>
    <n v="0"/>
    <n v="0"/>
    <n v="0"/>
    <n v="3"/>
    <x v="0"/>
    <n v="3428406037.2332602"/>
    <n v="9"/>
    <x v="0"/>
    <n v="2016"/>
    <s v="2013-2016"/>
    <n v="3.5494312143141332E-2"/>
    <n v="116624912.66423009"/>
    <n v="93831248.34220989"/>
  </r>
  <r>
    <n v="1046"/>
    <n v="1046"/>
    <n v="1046"/>
    <n v="2154"/>
    <s v="ANDINAB.SN"/>
    <d v="2015-12-31T00:00:00"/>
    <s v="Embotelladora Andina SA"/>
    <x v="2"/>
    <s v="Chile"/>
    <n v="183288109.062655"/>
    <n v="124458467.189376"/>
    <n v="1173234209.2251201"/>
    <n v="0.1060815191125193"/>
    <n v="3.9874843922294061E-2"/>
    <n v="3121227695.1331501"/>
    <n v="2015"/>
    <n v="0"/>
    <n v="0"/>
    <s v="ANDI"/>
    <n v="0"/>
    <n v="0"/>
    <n v="0"/>
    <n v="0"/>
    <n v="0"/>
    <n v="0"/>
    <n v="0"/>
    <n v="0"/>
    <n v="0"/>
    <n v="0"/>
    <n v="0"/>
    <n v="0"/>
    <n v="0"/>
    <n v="0"/>
    <n v="3"/>
    <x v="0"/>
    <n v="3428406037.2332602"/>
    <n v="9"/>
    <x v="0"/>
    <n v="2015"/>
    <s v="2013-2016"/>
    <n v="3.5494312143141332E-2"/>
    <n v="110785830.08087359"/>
    <n v="72502278.981781393"/>
  </r>
  <r>
    <n v="1047"/>
    <n v="1047"/>
    <n v="1047"/>
    <n v="2155"/>
    <s v="ANDINAB.SN"/>
    <d v="2014-12-31T00:00:00"/>
    <s v="Embotelladora Andina SA"/>
    <x v="2"/>
    <s v="Chile"/>
    <n v="161324000.65963101"/>
    <n v="125012265.831135"/>
    <n v="1479707280.6728201"/>
    <n v="8.4484456800328886E-2"/>
    <n v="3.3407513785160402E-2"/>
    <n v="3742040387.53298"/>
    <n v="2014"/>
    <n v="0"/>
    <n v="0"/>
    <s v="ANDI"/>
    <n v="0"/>
    <n v="0"/>
    <n v="0"/>
    <n v="0"/>
    <n v="0"/>
    <n v="0"/>
    <n v="0"/>
    <n v="0"/>
    <n v="0"/>
    <n v="0"/>
    <n v="0"/>
    <n v="0"/>
    <n v="0"/>
    <n v="0"/>
    <n v="3"/>
    <x v="0"/>
    <n v="3428406037.2332602"/>
    <n v="9"/>
    <x v="0"/>
    <n v="2014"/>
    <s v="2013-2016"/>
    <n v="3.5494312143141332E-2"/>
    <n v="132821149.5673371"/>
    <n v="28502851.09229387"/>
  </r>
  <r>
    <n v="1048"/>
    <n v="1048"/>
    <n v="1048"/>
    <n v="2156"/>
    <s v="ANDINAB.SN"/>
    <d v="2013-12-31T00:00:00"/>
    <s v="Embotelladora Andina SA"/>
    <x v="2"/>
    <s v="Chile"/>
    <n v="215559657.338664"/>
    <n v="171839375.59489799"/>
    <n v="1638433356.1774199"/>
    <n v="0.104880296135945"/>
    <n v="4.3336006082609332E-2"/>
    <n v="3965279478.3933001"/>
    <n v="2013"/>
    <n v="0"/>
    <n v="0"/>
    <s v="ANDI"/>
    <n v="0"/>
    <n v="0"/>
    <n v="0"/>
    <n v="575000000"/>
    <s v="ANDIN"/>
    <n v="0"/>
    <n v="1"/>
    <n v="0"/>
    <n v="0"/>
    <n v="1"/>
    <s v="ANDI"/>
    <n v="0"/>
    <n v="0"/>
    <n v="0"/>
    <n v="3"/>
    <x v="0"/>
    <n v="3428406037.2332602"/>
    <n v="9"/>
    <x v="0"/>
    <n v="2013"/>
    <s v="2013-2016"/>
    <n v="3.5494312143141332E-2"/>
    <n v="140744867.54088441"/>
    <n v="74814789.79777956"/>
  </r>
  <r>
    <n v="1170"/>
    <n v="1170"/>
    <n v="1170"/>
    <n v="18118"/>
    <n v="4296828347"/>
    <d v="2023-12-31T00:00:00"/>
    <s v="Empresa de los Ferrocarriles del Estado"/>
    <x v="4"/>
    <s v="Chile"/>
    <n v="-116.428733334848"/>
    <n v="-116.428733334848"/>
    <n v="-962.91561243725698"/>
    <n v="0.12091270702336281"/>
    <n v="-3.7615466290307577E-2"/>
    <n v="3095.2356787571798"/>
    <n v="2023"/>
    <n v="0"/>
    <n v="0"/>
    <n v="4296"/>
    <n v="0"/>
    <n v="0"/>
    <n v="0"/>
    <n v="0"/>
    <n v="0"/>
    <n v="0"/>
    <n v="0"/>
    <n v="0"/>
    <n v="0"/>
    <n v="0"/>
    <n v="0"/>
    <n v="0"/>
    <n v="0"/>
    <n v="0"/>
    <n v="2"/>
    <x v="0"/>
    <n v="2623.5343016049801"/>
    <n v="4"/>
    <x v="0"/>
    <n v="2023"/>
    <s v="2020-2023"/>
    <n v="5.4677413288106429E-2"/>
    <n v="169.23948043149889"/>
    <n v="-285.66821376634698"/>
  </r>
  <r>
    <n v="1171"/>
    <n v="1171"/>
    <n v="1171"/>
    <n v="18119"/>
    <n v="4296828347"/>
    <d v="2022-12-31T00:00:00"/>
    <s v="Empresa de los Ferrocarriles del Estado"/>
    <x v="4"/>
    <s v="Chile"/>
    <n v="-272.04756310450603"/>
    <n v="-272.04756310450603"/>
    <n v="-878.17138122198605"/>
    <n v="0.30978869150341543"/>
    <n v="-8.2887157059373398E-2"/>
    <n v="3282.14373319179"/>
    <n v="2022"/>
    <n v="0"/>
    <n v="0"/>
    <n v="4296"/>
    <n v="0"/>
    <n v="0"/>
    <n v="0"/>
    <n v="0"/>
    <n v="0"/>
    <n v="0"/>
    <n v="0"/>
    <n v="0"/>
    <n v="0"/>
    <n v="0"/>
    <n v="0"/>
    <n v="0"/>
    <n v="0"/>
    <n v="0"/>
    <n v="2"/>
    <x v="0"/>
    <n v="2623.5343016049801"/>
    <n v="4"/>
    <x v="0"/>
    <n v="2022"/>
    <s v="2020-2023"/>
    <n v="5.4677413288106429E-2"/>
    <n v="179.45912937069599"/>
    <n v="-451.50669247520199"/>
  </r>
  <r>
    <n v="1172"/>
    <n v="1172"/>
    <n v="1172"/>
    <n v="18120"/>
    <n v="4296828347"/>
    <d v="2021-12-31T00:00:00"/>
    <s v="Empresa de los Ferrocarriles del Estado"/>
    <x v="4"/>
    <s v="Chile"/>
    <n v="-156.01694982963201"/>
    <n v="-156.01694982963201"/>
    <n v="-613.09656679591103"/>
    <n v="0.2544736967701326"/>
    <n v="-4.8259915904766977E-2"/>
    <n v="3232.8475279050599"/>
    <n v="2021"/>
    <n v="0"/>
    <n v="0"/>
    <n v="4296"/>
    <n v="0"/>
    <n v="0"/>
    <n v="0"/>
    <n v="500000000"/>
    <s v="EMDLF"/>
    <n v="0"/>
    <n v="1"/>
    <n v="0"/>
    <n v="0"/>
    <n v="1"/>
    <s v="EMDL"/>
    <n v="0"/>
    <n v="0"/>
    <n v="0"/>
    <n v="2"/>
    <x v="0"/>
    <n v="2623.5343016049801"/>
    <n v="4"/>
    <x v="0"/>
    <n v="2021"/>
    <s v="2020-2023"/>
    <n v="5.4677413288106429E-2"/>
    <n v="176.76374038069821"/>
    <n v="-332.78069021033008"/>
  </r>
  <r>
    <n v="1173"/>
    <n v="1173"/>
    <n v="1173"/>
    <n v="18121"/>
    <n v="4296828347"/>
    <d v="2020-12-31T00:00:00"/>
    <s v="Empresa de los Ferrocarriles del Estado"/>
    <x v="4"/>
    <s v="Chile"/>
    <n v="-101.40798731947901"/>
    <n v="-101.41882212046499"/>
    <n v="-570.796074674181"/>
    <n v="0.17767960681642109"/>
    <n v="-3.4641284914752837E-2"/>
    <n v="2927.6864980627001"/>
    <n v="2020"/>
    <n v="0"/>
    <n v="0"/>
    <n v="4296"/>
    <n v="0"/>
    <n v="0"/>
    <n v="0"/>
    <n v="500000000"/>
    <s v="EMDLF"/>
    <n v="0"/>
    <n v="1"/>
    <n v="0"/>
    <n v="0"/>
    <n v="1"/>
    <s v="EMDL"/>
    <n v="0"/>
    <n v="0"/>
    <n v="0"/>
    <n v="2"/>
    <x v="0"/>
    <n v="2623.5343016049801"/>
    <n v="4"/>
    <x v="0"/>
    <n v="2020"/>
    <s v="2020-2023"/>
    <n v="5.4677413288106429E-2"/>
    <n v="160.07832463258319"/>
    <n v="-261.48631195206218"/>
  </r>
  <r>
    <n v="1174"/>
    <n v="1174"/>
    <n v="1174"/>
    <n v="18122"/>
    <n v="4296828347"/>
    <d v="2019-12-31T00:00:00"/>
    <s v="Empresa de los Ferrocarriles del Estado"/>
    <x v="4"/>
    <s v="Chile"/>
    <n v="-75.044005322687994"/>
    <n v="-75.331559547571501"/>
    <n v="-443.91780705256201"/>
    <n v="0.16969708885467591"/>
    <n v="-3.2125852306011622E-2"/>
    <n v="2344.8890578842302"/>
    <n v="2019"/>
    <n v="0"/>
    <n v="0"/>
    <n v="4296"/>
    <n v="0"/>
    <n v="0"/>
    <n v="0"/>
    <n v="0"/>
    <n v="0"/>
    <n v="0"/>
    <n v="0"/>
    <n v="0"/>
    <n v="0"/>
    <n v="0"/>
    <n v="0"/>
    <n v="0"/>
    <n v="0"/>
    <n v="0"/>
    <n v="2"/>
    <x v="0"/>
    <n v="2623.5343016049801"/>
    <n v="4"/>
    <x v="0"/>
    <n v="2019"/>
    <s v="2017-2019"/>
    <n v="3.0717388517610751E-2"/>
    <n v="72.028868221724153"/>
    <n v="-147.07287354441209"/>
  </r>
  <r>
    <n v="1175"/>
    <n v="1175"/>
    <n v="1175"/>
    <n v="18123"/>
    <n v="4296828347"/>
    <d v="2018-12-31T00:00:00"/>
    <s v="Empresa de los Ferrocarriles del Estado"/>
    <x v="4"/>
    <s v="Chile"/>
    <n v="-78.485086238002395"/>
    <n v="-78.930241755069602"/>
    <n v="-405.62354189218399"/>
    <n v="0.19458989334511931"/>
    <n v="-3.3600853243197448E-2"/>
    <n v="2349.0546857184099"/>
    <n v="2018"/>
    <n v="0"/>
    <n v="0"/>
    <n v="4296"/>
    <n v="0"/>
    <n v="0"/>
    <n v="0"/>
    <n v="0"/>
    <n v="0"/>
    <n v="0"/>
    <n v="0"/>
    <n v="0"/>
    <n v="0"/>
    <n v="0"/>
    <n v="0"/>
    <n v="0"/>
    <n v="0"/>
    <n v="0"/>
    <n v="2"/>
    <x v="0"/>
    <n v="2623.5343016049801"/>
    <n v="4"/>
    <x v="0"/>
    <n v="2018"/>
    <s v="2017-2019"/>
    <n v="3.0717388517610751E-2"/>
    <n v="72.156825430326421"/>
    <n v="-150.64191166832879"/>
  </r>
  <r>
    <n v="1176"/>
    <n v="1176"/>
    <n v="1176"/>
    <n v="18124"/>
    <n v="4296828347"/>
    <d v="2017-12-31T00:00:00"/>
    <s v="Empresa de los Ferrocarriles del Estado"/>
    <x v="4"/>
    <s v="Chile"/>
    <n v="-87.024988204669299"/>
    <n v="-87.281594403319005"/>
    <n v="-378.70864394370801"/>
    <n v="0.23047161927545731"/>
    <n v="-3.2987149695379102E-2"/>
    <n v="2645.92713251444"/>
    <n v="2017"/>
    <n v="0"/>
    <n v="0"/>
    <n v="4296"/>
    <n v="0"/>
    <n v="0"/>
    <n v="0"/>
    <n v="0"/>
    <n v="0"/>
    <n v="0"/>
    <n v="0"/>
    <n v="0"/>
    <n v="0"/>
    <n v="0"/>
    <n v="0"/>
    <n v="0"/>
    <n v="0"/>
    <n v="0"/>
    <n v="2"/>
    <x v="0"/>
    <n v="2623.5343016049801"/>
    <n v="4"/>
    <x v="0"/>
    <n v="2017"/>
    <s v="2017-2019"/>
    <n v="3.0717388517610751E-2"/>
    <n v="81.275971718733814"/>
    <n v="-168.3009599234031"/>
  </r>
  <r>
    <n v="1177"/>
    <n v="1177"/>
    <n v="1177"/>
    <n v="18125"/>
    <n v="4296828347"/>
    <d v="2016-12-31T00:00:00"/>
    <s v="Empresa de los Ferrocarriles del Estado"/>
    <x v="4"/>
    <s v="Chile"/>
    <n v="-90.703373724394496"/>
    <n v="-91.517599246963201"/>
    <n v="-279.76646296822003"/>
    <n v="0.32712140789140659"/>
    <n v="-4.0541825443554863E-2"/>
    <n v="2257.3625692898399"/>
    <n v="2016"/>
    <n v="0"/>
    <n v="0"/>
    <n v="4296"/>
    <n v="0"/>
    <n v="0"/>
    <n v="0"/>
    <n v="0"/>
    <n v="0"/>
    <n v="0"/>
    <n v="0"/>
    <n v="0"/>
    <n v="0"/>
    <n v="0"/>
    <n v="0"/>
    <n v="0"/>
    <n v="0"/>
    <n v="0"/>
    <n v="2"/>
    <x v="0"/>
    <n v="2623.5343016049801"/>
    <n v="4"/>
    <x v="0"/>
    <n v="2016"/>
    <s v="2013-2016"/>
    <n v="4.6522305896109353E-2"/>
    <n v="105.0177119669293"/>
    <n v="-195.72108569132379"/>
  </r>
  <r>
    <n v="1178"/>
    <n v="1178"/>
    <n v="1178"/>
    <n v="18126"/>
    <n v="4296828347"/>
    <d v="2015-12-31T00:00:00"/>
    <s v="Empresa de los Ferrocarriles del Estado"/>
    <x v="4"/>
    <s v="Chile"/>
    <n v="-102.904475524476"/>
    <n v="-102.807476160203"/>
    <n v="-197.356942855125"/>
    <n v="0.52092150736075948"/>
    <n v="-4.8292236500805281E-2"/>
    <n v="2128.86135763227"/>
    <n v="2015"/>
    <n v="0"/>
    <n v="0"/>
    <n v="4296"/>
    <n v="0"/>
    <n v="0"/>
    <n v="0"/>
    <n v="0"/>
    <n v="0"/>
    <n v="0"/>
    <n v="0"/>
    <n v="0"/>
    <n v="0"/>
    <n v="0"/>
    <n v="0"/>
    <n v="0"/>
    <n v="0"/>
    <n v="0"/>
    <n v="2"/>
    <x v="0"/>
    <n v="2623.5343016049801"/>
    <n v="4"/>
    <x v="0"/>
    <n v="2015"/>
    <s v="2013-2016"/>
    <n v="4.6522305896109353E-2"/>
    <n v="99.039539290175114"/>
    <n v="-201.9440148146511"/>
  </r>
  <r>
    <n v="1179"/>
    <n v="1179"/>
    <n v="1179"/>
    <n v="18127"/>
    <n v="4296828347"/>
    <d v="2014-12-31T00:00:00"/>
    <s v="Empresa de los Ferrocarriles del Estado"/>
    <x v="4"/>
    <s v="Chile"/>
    <n v="-138.534548153034"/>
    <n v="-138.617191622691"/>
    <n v="-157.61818766490799"/>
    <n v="0.87944921633909023"/>
    <n v="-6.0502083062233182E-2"/>
    <n v="2291.1143651055399"/>
    <n v="2014"/>
    <n v="0"/>
    <n v="0"/>
    <n v="4296"/>
    <n v="0"/>
    <n v="0"/>
    <n v="0"/>
    <n v="0"/>
    <n v="0"/>
    <n v="0"/>
    <n v="0"/>
    <n v="0"/>
    <n v="0"/>
    <n v="0"/>
    <n v="0"/>
    <n v="0"/>
    <n v="0"/>
    <n v="0"/>
    <n v="2"/>
    <x v="0"/>
    <n v="2623.5343016049801"/>
    <n v="4"/>
    <x v="0"/>
    <n v="2014"/>
    <s v="2013-2016"/>
    <n v="4.6522305896109353E-2"/>
    <n v="106.5879233364103"/>
    <n v="-245.12247148944431"/>
  </r>
  <r>
    <n v="1180"/>
    <n v="1180"/>
    <n v="1180"/>
    <n v="18128"/>
    <n v="4296828347"/>
    <d v="2013-12-31T00:00:00"/>
    <s v="Empresa de los Ferrocarriles del Estado"/>
    <x v="4"/>
    <s v="Chile"/>
    <n v="-69.813491338282901"/>
    <n v="-69.835044736341104"/>
    <n v="-92.297511897963105"/>
    <n v="0.7566297649880882"/>
    <n v="-3.0313576521365009E-2"/>
    <n v="2303.7547115933799"/>
    <n v="2013"/>
    <n v="0"/>
    <n v="0"/>
    <n v="4296"/>
    <n v="0"/>
    <n v="0"/>
    <n v="0"/>
    <n v="0"/>
    <n v="0"/>
    <n v="0"/>
    <n v="0"/>
    <n v="0"/>
    <n v="0"/>
    <n v="0"/>
    <n v="0"/>
    <n v="0"/>
    <n v="0"/>
    <n v="0"/>
    <n v="2"/>
    <x v="0"/>
    <n v="2623.5343016049801"/>
    <n v="4"/>
    <x v="0"/>
    <n v="2013"/>
    <s v="2013-2016"/>
    <n v="4.6522305896109353E-2"/>
    <n v="107.1759814023504"/>
    <n v="-176.98947274063329"/>
  </r>
  <r>
    <n v="1137"/>
    <n v="1137"/>
    <n v="1137"/>
    <n v="867"/>
    <s v="ENTEL.SN"/>
    <d v="2023-12-31T00:00:00"/>
    <s v="Empresa Nacional de Telecomunicaciones SA"/>
    <x v="5"/>
    <s v="Chile"/>
    <n v="136949091.50786999"/>
    <n v="100938433.75956801"/>
    <n v="1902669785.8229799"/>
    <n v="5.3050946891400892E-2"/>
    <n v="1.559733930618078E-2"/>
    <n v="6471516184.7873001"/>
    <n v="2023"/>
    <n v="0"/>
    <n v="0"/>
    <s v="ENTE"/>
    <n v="0"/>
    <n v="0"/>
    <n v="0"/>
    <n v="0"/>
    <n v="0"/>
    <n v="0"/>
    <n v="0"/>
    <n v="0"/>
    <n v="0"/>
    <n v="0"/>
    <n v="0"/>
    <n v="0"/>
    <n v="0"/>
    <n v="0"/>
    <n v="3"/>
    <x v="0"/>
    <n v="5802097477.17309"/>
    <n v="10"/>
    <x v="0"/>
    <n v="2023"/>
    <s v="2020-2023"/>
    <n v="4.7658551650929679E-2"/>
    <n v="308423088.3525129"/>
    <n v="-171473996.84464291"/>
  </r>
  <r>
    <n v="1138"/>
    <n v="1138"/>
    <n v="1138"/>
    <n v="868"/>
    <s v="ENTEL.SN"/>
    <d v="2022-12-31T00:00:00"/>
    <s v="Empresa Nacional de Telecomunicaciones SA"/>
    <x v="5"/>
    <s v="Chile"/>
    <n v="636649497.52300096"/>
    <n v="538791380.04246294"/>
    <n v="1833587846.19014"/>
    <n v="0.29384541414908089"/>
    <n v="8.1902054800118071E-2"/>
    <n v="6578484280.4906797"/>
    <n v="2022"/>
    <n v="0"/>
    <n v="0"/>
    <s v="ENTE"/>
    <n v="0"/>
    <n v="0"/>
    <n v="0"/>
    <n v="0"/>
    <n v="0"/>
    <n v="0"/>
    <n v="0"/>
    <n v="0"/>
    <n v="0"/>
    <n v="0"/>
    <n v="0"/>
    <n v="0"/>
    <n v="0"/>
    <n v="0"/>
    <n v="3"/>
    <x v="0"/>
    <n v="5802097477.17309"/>
    <n v="10"/>
    <x v="0"/>
    <n v="2022"/>
    <s v="2020-2023"/>
    <n v="4.7658551650929679E-2"/>
    <n v="313521032.86659402"/>
    <n v="323128464.65640688"/>
  </r>
  <r>
    <n v="1139"/>
    <n v="1139"/>
    <n v="1139"/>
    <n v="869"/>
    <s v="ENTEL.SN"/>
    <d v="2021-12-31T00:00:00"/>
    <s v="Empresa Nacional de Telecomunicaciones SA"/>
    <x v="5"/>
    <s v="Chile"/>
    <n v="139384749.14816099"/>
    <n v="88092246.504523605"/>
    <n v="1766003251.0868299"/>
    <n v="4.988226745919639E-2"/>
    <n v="1.3698400844100679E-2"/>
    <n v="6430841636.7054396"/>
    <n v="2021"/>
    <n v="0"/>
    <n v="0"/>
    <s v="ENTE"/>
    <n v="0"/>
    <n v="800000000"/>
    <n v="0"/>
    <n v="0"/>
    <s v="ENTEL"/>
    <n v="0"/>
    <n v="1"/>
    <n v="1"/>
    <n v="0"/>
    <n v="0"/>
    <s v="ENTE"/>
    <n v="0"/>
    <n v="0"/>
    <n v="0"/>
    <n v="3"/>
    <x v="0"/>
    <n v="5802097477.17309"/>
    <n v="10"/>
    <x v="0"/>
    <n v="2021"/>
    <s v="2020-2023"/>
    <n v="4.7658551650929679E-2"/>
    <n v="306484598.30187541"/>
    <n v="-167099849.15371439"/>
  </r>
  <r>
    <n v="1140"/>
    <n v="1140"/>
    <n v="1140"/>
    <n v="870"/>
    <s v="ENTEL.SN"/>
    <d v="2020-12-31T00:00:00"/>
    <s v="Empresa Nacional de Telecomunicaciones SA"/>
    <x v="5"/>
    <s v="Chile"/>
    <n v="132376267.699894"/>
    <n v="119008450.86297999"/>
    <n v="2125382778.44311"/>
    <n v="5.5993890639386999E-2"/>
    <n v="1.7278757577605691E-2"/>
    <n v="6887558340.2606497"/>
    <n v="2020"/>
    <n v="0"/>
    <n v="0"/>
    <s v="ENTE"/>
    <n v="0"/>
    <n v="0"/>
    <n v="0"/>
    <n v="0"/>
    <n v="0"/>
    <n v="0"/>
    <n v="0"/>
    <n v="0"/>
    <n v="0"/>
    <n v="0"/>
    <n v="0"/>
    <n v="0"/>
    <n v="0"/>
    <n v="0"/>
    <n v="3"/>
    <x v="0"/>
    <n v="5802097477.17309"/>
    <n v="10"/>
    <x v="0"/>
    <n v="2020"/>
    <s v="2020-2023"/>
    <n v="4.7658551650929679E-2"/>
    <n v="328251054.90810359"/>
    <n v="-195874787.2082096"/>
  </r>
  <r>
    <n v="1141"/>
    <n v="1141"/>
    <n v="1141"/>
    <n v="871"/>
    <s v="ENTEL.SN"/>
    <d v="2019-12-31T00:00:00"/>
    <s v="Empresa Nacional de Telecomunicaciones SA"/>
    <x v="5"/>
    <s v="Chile"/>
    <n v="319640501.66333997"/>
    <n v="205125889.554225"/>
    <n v="2140617961.4105101"/>
    <n v="9.5825548160430318E-2"/>
    <n v="2.9819575739558121E-2"/>
    <n v="6878900335.32934"/>
    <n v="2019"/>
    <n v="0"/>
    <n v="0"/>
    <s v="ENTE"/>
    <n v="0"/>
    <n v="0"/>
    <n v="0"/>
    <n v="0"/>
    <n v="0"/>
    <n v="0"/>
    <n v="0"/>
    <n v="0"/>
    <n v="0"/>
    <n v="0"/>
    <n v="0"/>
    <n v="0"/>
    <n v="0"/>
    <n v="0"/>
    <n v="3"/>
    <x v="0"/>
    <n v="5802097477.17309"/>
    <n v="10"/>
    <x v="0"/>
    <n v="2019"/>
    <s v="2017-2019"/>
    <n v="1.236314438369158E-2"/>
    <n v="85044838.046701074"/>
    <n v="234595663.6166389"/>
  </r>
  <r>
    <n v="1142"/>
    <n v="1142"/>
    <n v="1142"/>
    <n v="872"/>
    <s v="ENTEL.SN"/>
    <d v="2018-12-31T00:00:00"/>
    <s v="Empresa Nacional de Telecomunicaciones SA"/>
    <x v="5"/>
    <s v="Chile"/>
    <n v="-3277731.1106300098"/>
    <n v="-34082546.005628899"/>
    <n v="1972175740.7808299"/>
    <n v="-1.728169822844227E-2"/>
    <n v="-5.9568137413595016E-3"/>
    <n v="5721606799.45154"/>
    <n v="2018"/>
    <n v="0"/>
    <n v="0"/>
    <s v="ENTE"/>
    <n v="0"/>
    <n v="0"/>
    <n v="0"/>
    <n v="0"/>
    <n v="0"/>
    <n v="0"/>
    <n v="0"/>
    <n v="0"/>
    <n v="0"/>
    <n v="0"/>
    <n v="0"/>
    <n v="0"/>
    <n v="0"/>
    <n v="0"/>
    <n v="3"/>
    <x v="0"/>
    <n v="5802097477.17309"/>
    <n v="10"/>
    <x v="0"/>
    <n v="2018"/>
    <s v="2017-2019"/>
    <n v="1.236314438369158E-2"/>
    <n v="70737050.968330875"/>
    <n v="-74014782.078960881"/>
  </r>
  <r>
    <n v="1143"/>
    <n v="1143"/>
    <n v="1143"/>
    <n v="873"/>
    <s v="ENTEL.SN"/>
    <d v="2017-12-31T00:00:00"/>
    <s v="Empresa Nacional de Telecomunicaciones SA"/>
    <x v="5"/>
    <s v="Chile"/>
    <n v="42301999.511917397"/>
    <n v="70624812.494915798"/>
    <n v="2014725730.0903001"/>
    <n v="3.5054306122228547E-2"/>
    <n v="1.2300665017110871E-2"/>
    <n v="5741544249.5729303"/>
    <n v="2017"/>
    <n v="0"/>
    <n v="0"/>
    <s v="ENTE"/>
    <n v="0"/>
    <n v="0"/>
    <n v="0"/>
    <n v="0"/>
    <n v="0"/>
    <n v="0"/>
    <n v="0"/>
    <n v="0"/>
    <n v="0"/>
    <n v="0"/>
    <n v="0"/>
    <n v="0"/>
    <n v="0"/>
    <n v="0"/>
    <n v="3"/>
    <x v="0"/>
    <n v="5802097477.17309"/>
    <n v="10"/>
    <x v="0"/>
    <n v="2017"/>
    <s v="2017-2019"/>
    <n v="1.236314438369158E-2"/>
    <n v="70983540.542824283"/>
    <n v="-28681541.03090689"/>
  </r>
  <r>
    <n v="1144"/>
    <n v="1144"/>
    <n v="1144"/>
    <n v="874"/>
    <s v="ENTEL.SN"/>
    <d v="2016-12-31T00:00:00"/>
    <s v="Empresa Nacional de Telecomunicaciones SA"/>
    <x v="5"/>
    <s v="Chile"/>
    <n v="9173996.3244632408"/>
    <n v="51036322.0726441"/>
    <n v="1885390101.4507899"/>
    <n v="2.70693699056615E-2"/>
    <n v="9.8143064019109005E-3"/>
    <n v="5200196527.66364"/>
    <n v="2016"/>
    <n v="0"/>
    <n v="0"/>
    <s v="ENTE"/>
    <n v="0"/>
    <n v="0"/>
    <n v="0"/>
    <n v="0"/>
    <n v="0"/>
    <n v="0"/>
    <n v="0"/>
    <n v="0"/>
    <n v="0"/>
    <n v="0"/>
    <n v="0"/>
    <n v="0"/>
    <n v="0"/>
    <n v="0"/>
    <n v="3"/>
    <x v="0"/>
    <n v="5802097477.17309"/>
    <n v="10"/>
    <x v="0"/>
    <n v="2016"/>
    <s v="2013-2016"/>
    <n v="1.9907400481436421E-2"/>
    <n v="103522394.8583751"/>
    <n v="-94348398.533911884"/>
  </r>
  <r>
    <n v="1145"/>
    <n v="1145"/>
    <n v="1145"/>
    <n v="875"/>
    <s v="ENTEL.SN"/>
    <d v="2015-12-31T00:00:00"/>
    <s v="Empresa Nacional de Telecomunicaciones SA"/>
    <x v="5"/>
    <s v="Chile"/>
    <n v="-19612026.559299301"/>
    <n v="-1556822.7731864101"/>
    <n v="1349645941.9368501"/>
    <n v="-1.153504578357969E-3"/>
    <n v="-3.3772993153053141E-4"/>
    <n v="4609667748.8168402"/>
    <n v="2015"/>
    <n v="0"/>
    <n v="0"/>
    <s v="ENTE"/>
    <n v="0"/>
    <n v="0"/>
    <n v="0"/>
    <n v="0"/>
    <n v="0"/>
    <n v="0"/>
    <n v="0"/>
    <n v="0"/>
    <n v="0"/>
    <n v="0"/>
    <n v="0"/>
    <n v="0"/>
    <n v="0"/>
    <n v="0"/>
    <n v="3"/>
    <x v="0"/>
    <n v="5802097477.17309"/>
    <n v="10"/>
    <x v="0"/>
    <n v="2015"/>
    <s v="2013-2016"/>
    <n v="1.9907400481436421E-2"/>
    <n v="91766501.962058291"/>
    <n v="-111378528.5213576"/>
  </r>
  <r>
    <n v="1146"/>
    <n v="1146"/>
    <n v="1146"/>
    <n v="876"/>
    <s v="ENTEL.SN"/>
    <d v="2014-12-31T00:00:00"/>
    <s v="Empresa Nacional de Telecomunicaciones SA"/>
    <x v="5"/>
    <s v="Chile"/>
    <n v="79908504.287598893"/>
    <n v="93124178.759894505"/>
    <n v="1577085854.2216401"/>
    <n v="5.9048262027469198E-2"/>
    <n v="1.860155066583058E-2"/>
    <n v="5006258909.9604197"/>
    <n v="2014"/>
    <n v="0"/>
    <n v="0"/>
    <s v="ENTE"/>
    <n v="0"/>
    <n v="0"/>
    <n v="0"/>
    <n v="800000000"/>
    <s v="ENTEL"/>
    <n v="0"/>
    <n v="1"/>
    <n v="0"/>
    <n v="0"/>
    <n v="1"/>
    <s v="ENTE"/>
    <n v="0"/>
    <n v="0"/>
    <n v="0"/>
    <n v="3"/>
    <x v="0"/>
    <n v="5802097477.17309"/>
    <n v="10"/>
    <x v="0"/>
    <n v="2014"/>
    <s v="2013-2016"/>
    <n v="1.9907400481436421E-2"/>
    <n v="99661601.03434141"/>
    <n v="-19753096.74674252"/>
  </r>
  <r>
    <n v="1147"/>
    <n v="1147"/>
    <n v="1147"/>
    <n v="877"/>
    <s v="ENTEL.SN"/>
    <d v="2013-12-31T00:00:00"/>
    <s v="Empresa Nacional de Telecomunicaciones SA"/>
    <x v="5"/>
    <s v="Chile"/>
    <n v="336792223.49133801"/>
    <n v="279773946.31639099"/>
    <n v="1677298899.6763799"/>
    <n v="0.16680029204715449"/>
    <n v="6.5116752311851697E-2"/>
    <n v="4296497235.8652201"/>
    <n v="2013"/>
    <n v="0"/>
    <n v="0"/>
    <s v="ENTE"/>
    <n v="0"/>
    <n v="0"/>
    <n v="0"/>
    <n v="1000000000"/>
    <s v="ENTEL"/>
    <n v="0"/>
    <n v="1"/>
    <n v="0"/>
    <n v="0"/>
    <n v="1"/>
    <s v="ENTE"/>
    <n v="0"/>
    <n v="0"/>
    <n v="0"/>
    <n v="3"/>
    <x v="0"/>
    <n v="5802097477.17309"/>
    <n v="10"/>
    <x v="0"/>
    <n v="2013"/>
    <s v="2013-2016"/>
    <n v="1.9907400481436421E-2"/>
    <n v="85532091.141753525"/>
    <n v="251260132.34958449"/>
  </r>
  <r>
    <n v="1159"/>
    <n v="1159"/>
    <n v="1159"/>
    <n v="18049"/>
    <n v="4295863497"/>
    <d v="2023-12-31T00:00:00"/>
    <s v="Empresa Nacional del Petroleo"/>
    <x v="2"/>
    <s v="Chile"/>
    <n v="597.16300000000001"/>
    <n v="518.94500000000005"/>
    <n v="1792.047"/>
    <n v="0.28958224867986171"/>
    <n v="7.2920426951492104E-2"/>
    <n v="7116.5929999999998"/>
    <n v="2023"/>
    <n v="0"/>
    <n v="0"/>
    <n v="4295"/>
    <n v="0"/>
    <n v="0"/>
    <n v="0"/>
    <n v="500000000"/>
    <s v="ENAP"/>
    <n v="0"/>
    <n v="1"/>
    <n v="0"/>
    <n v="0"/>
    <n v="1"/>
    <s v="ENAP"/>
    <n v="0"/>
    <n v="0"/>
    <n v="0"/>
    <n v="7"/>
    <x v="0"/>
    <n v="6511.9750909090899"/>
    <n v="5"/>
    <x v="0"/>
    <n v="2023"/>
    <s v="2020-2023"/>
    <n v="3.4062668681992411E-2"/>
    <n v="242.41014950358641"/>
    <n v="354.7528504964136"/>
  </r>
  <r>
    <n v="1160"/>
    <n v="1160"/>
    <n v="1160"/>
    <n v="18050"/>
    <n v="4295863497"/>
    <d v="2022-12-31T00:00:00"/>
    <s v="Empresa Nacional del Petroleo"/>
    <x v="2"/>
    <s v="Chile"/>
    <n v="714.13900000000001"/>
    <n v="528.01400000000001"/>
    <n v="1622.2"/>
    <n v="0.32549254099371222"/>
    <n v="7.0181524751556687E-2"/>
    <n v="7523.5469999999996"/>
    <n v="2022"/>
    <n v="0"/>
    <n v="0"/>
    <n v="4295"/>
    <n v="0"/>
    <n v="0"/>
    <n v="0"/>
    <n v="0"/>
    <n v="0"/>
    <n v="0"/>
    <n v="0"/>
    <n v="0"/>
    <n v="0"/>
    <n v="0"/>
    <n v="0"/>
    <n v="0"/>
    <n v="0"/>
    <n v="0"/>
    <n v="7"/>
    <x v="0"/>
    <n v="6511.9750909090899"/>
    <n v="5"/>
    <x v="0"/>
    <n v="2022"/>
    <s v="2020-2023"/>
    <n v="3.4062668681992411E-2"/>
    <n v="256.27208877439801"/>
    <n v="457.86691122560211"/>
  </r>
  <r>
    <n v="1161"/>
    <n v="1161"/>
    <n v="1161"/>
    <n v="18051"/>
    <n v="4295863497"/>
    <d v="2021-12-31T00:00:00"/>
    <s v="Empresa Nacional del Petroleo"/>
    <x v="2"/>
    <s v="Chile"/>
    <n v="189.23599999999999"/>
    <n v="113.175"/>
    <n v="1016.391"/>
    <n v="0.1113498643730612"/>
    <n v="1.6336013060149871E-2"/>
    <n v="6927.9449999999997"/>
    <n v="2021"/>
    <n v="0"/>
    <n v="0"/>
    <n v="4295"/>
    <n v="0"/>
    <n v="0"/>
    <n v="0"/>
    <n v="560000000"/>
    <s v="ENAP"/>
    <n v="0"/>
    <n v="1"/>
    <n v="0"/>
    <n v="0"/>
    <n v="1"/>
    <s v="ENAP"/>
    <n v="0"/>
    <n v="0"/>
    <n v="0"/>
    <n v="7"/>
    <x v="0"/>
    <n v="6511.9750909090899"/>
    <n v="5"/>
    <x v="0"/>
    <n v="2021"/>
    <s v="2020-2023"/>
    <n v="3.4062668681992411E-2"/>
    <n v="235.98429518206589"/>
    <n v="-46.748295182065903"/>
  </r>
  <r>
    <n v="1162"/>
    <n v="1162"/>
    <n v="1162"/>
    <n v="18052"/>
    <n v="4295863497"/>
    <d v="2020-12-31T00:00:00"/>
    <s v="Empresa Nacional del Petroleo"/>
    <x v="2"/>
    <s v="Chile"/>
    <n v="-189.262"/>
    <n v="-112.009"/>
    <n v="924.71299999999997"/>
    <n v="-0.121128393350153"/>
    <n v="-1.7734798975580991E-2"/>
    <n v="6315.7749999999996"/>
    <n v="2020"/>
    <n v="0"/>
    <n v="0"/>
    <n v="4295"/>
    <n v="0"/>
    <n v="0"/>
    <n v="0"/>
    <n v="0"/>
    <n v="0"/>
    <n v="0"/>
    <n v="0"/>
    <n v="0"/>
    <n v="0"/>
    <n v="0"/>
    <n v="0"/>
    <n v="0"/>
    <n v="0"/>
    <n v="0"/>
    <n v="7"/>
    <x v="0"/>
    <n v="6511.9750909090899"/>
    <n v="5"/>
    <x v="0"/>
    <n v="2020"/>
    <s v="2020-2023"/>
    <n v="3.4062668681992411E-2"/>
    <n v="215.1321512950106"/>
    <n v="-404.3941512950106"/>
  </r>
  <r>
    <n v="1163"/>
    <n v="1163"/>
    <n v="1163"/>
    <n v="18053"/>
    <n v="4295863497"/>
    <d v="2019-12-31T00:00:00"/>
    <s v="Empresa Nacional del Petroleo"/>
    <x v="2"/>
    <s v="Chile"/>
    <n v="-74.078000000000003"/>
    <n v="-14.497999999999999"/>
    <n v="1037.923"/>
    <n v="-1.396828088403475E-2"/>
    <n v="-2.2264053704005721E-3"/>
    <n v="6511.8419999999996"/>
    <n v="2019"/>
    <n v="0"/>
    <n v="0"/>
    <n v="4295"/>
    <n v="0"/>
    <n v="0"/>
    <n v="0"/>
    <n v="0"/>
    <n v="0"/>
    <n v="0"/>
    <n v="0"/>
    <n v="0"/>
    <n v="0"/>
    <n v="0"/>
    <n v="0"/>
    <n v="0"/>
    <n v="0"/>
    <n v="0"/>
    <n v="7"/>
    <x v="0"/>
    <n v="6511.9750909090899"/>
    <n v="5"/>
    <x v="0"/>
    <n v="2019"/>
    <s v="2017-2019"/>
    <n v="3.5092427195981053E-2"/>
    <n v="228.51634129673161"/>
    <n v="-302.59434129673161"/>
  </r>
  <r>
    <n v="1164"/>
    <n v="1164"/>
    <n v="1164"/>
    <n v="18054"/>
    <n v="4295863497"/>
    <d v="2018-12-31T00:00:00"/>
    <s v="Empresa Nacional del Petroleo"/>
    <x v="2"/>
    <s v="Chile"/>
    <n v="-524.74"/>
    <n v="-248.946"/>
    <n v="1030.5219999999999"/>
    <n v="-0.24157271751597739"/>
    <n v="-3.4394117744582793E-2"/>
    <n v="7238.04"/>
    <n v="2018"/>
    <n v="0"/>
    <n v="0"/>
    <n v="4295"/>
    <n v="0"/>
    <n v="0"/>
    <n v="0"/>
    <n v="680000000"/>
    <s v="ENAP"/>
    <n v="0"/>
    <n v="1"/>
    <n v="0"/>
    <n v="0"/>
    <n v="1"/>
    <s v="ENAP"/>
    <n v="0"/>
    <n v="0"/>
    <n v="0"/>
    <n v="7"/>
    <x v="0"/>
    <n v="6511.9750909090899"/>
    <n v="5"/>
    <x v="0"/>
    <n v="2018"/>
    <s v="2017-2019"/>
    <n v="3.5092427195981053E-2"/>
    <n v="254.00039174159869"/>
    <n v="-778.74039174159873"/>
  </r>
  <r>
    <n v="1165"/>
    <n v="1165"/>
    <n v="1165"/>
    <n v="18055"/>
    <n v="4295863497"/>
    <d v="2017-12-31T00:00:00"/>
    <s v="Empresa Nacional del Petroleo"/>
    <x v="2"/>
    <s v="Chile"/>
    <n v="-97.182000000000002"/>
    <n v="4.9580000000000002"/>
    <n v="815.42100000000005"/>
    <n v="6.080294718924335E-3"/>
    <n v="7.3237564164112419E-4"/>
    <n v="6769.75"/>
    <n v="2017"/>
    <n v="0"/>
    <n v="0"/>
    <n v="4295"/>
    <n v="0"/>
    <n v="0"/>
    <n v="0"/>
    <n v="600000000"/>
    <s v="ENAP"/>
    <n v="0"/>
    <n v="1"/>
    <n v="0"/>
    <n v="0"/>
    <n v="1"/>
    <s v="ENAP"/>
    <n v="0"/>
    <n v="0"/>
    <n v="0"/>
    <n v="7"/>
    <x v="0"/>
    <n v="6511.9750909090899"/>
    <n v="5"/>
    <x v="0"/>
    <n v="2017"/>
    <s v="2017-2019"/>
    <n v="3.5092427195981053E-2"/>
    <n v="237.5669590099927"/>
    <n v="-334.74895900999269"/>
  </r>
  <r>
    <n v="1166"/>
    <n v="1166"/>
    <n v="1166"/>
    <n v="18056"/>
    <n v="4295863497"/>
    <d v="2016-12-31T00:00:00"/>
    <s v="Empresa Nacional del Petroleo"/>
    <x v="2"/>
    <s v="Chile"/>
    <n v="109.005"/>
    <n v="164.42699999999999"/>
    <n v="798.17600000000004"/>
    <n v="0.20600343783827119"/>
    <n v="2.8139662759421261E-2"/>
    <n v="5843.2470000000003"/>
    <n v="2016"/>
    <n v="0"/>
    <n v="0"/>
    <n v="4295"/>
    <n v="0"/>
    <n v="0"/>
    <n v="0"/>
    <n v="700000000"/>
    <s v="ENAP"/>
    <n v="0"/>
    <n v="1"/>
    <n v="0"/>
    <n v="0"/>
    <n v="1"/>
    <s v="ENAP"/>
    <n v="0"/>
    <n v="0"/>
    <n v="0"/>
    <n v="7"/>
    <x v="0"/>
    <n v="6511.9750909090899"/>
    <n v="5"/>
    <x v="0"/>
    <n v="2016"/>
    <s v="2013-2016"/>
    <n v="3.5494312143141332E-2"/>
    <n v="207.4020329474742"/>
    <n v="-98.397032947474173"/>
  </r>
  <r>
    <n v="1167"/>
    <n v="1167"/>
    <n v="1167"/>
    <n v="18057"/>
    <n v="4295863497"/>
    <d v="2015-12-31T00:00:00"/>
    <s v="Empresa Nacional del Petroleo"/>
    <x v="2"/>
    <s v="Chile"/>
    <n v="78.054000000000002"/>
    <n v="155.62100000000001"/>
    <n v="688.33399999999995"/>
    <n v="0.22608355827258281"/>
    <n v="2.8535232589439279E-2"/>
    <n v="5453.6440000000002"/>
    <n v="2015"/>
    <n v="0"/>
    <n v="0"/>
    <n v="4295"/>
    <n v="0"/>
    <n v="0"/>
    <n v="0"/>
    <n v="0"/>
    <n v="0"/>
    <n v="0"/>
    <n v="0"/>
    <n v="0"/>
    <n v="0"/>
    <n v="0"/>
    <n v="0"/>
    <n v="0"/>
    <n v="0"/>
    <n v="0"/>
    <n v="7"/>
    <x v="0"/>
    <n v="6511.9750909090899"/>
    <n v="5"/>
    <x v="0"/>
    <n v="2015"/>
    <s v="2013-2016"/>
    <n v="3.5494312143141332E-2"/>
    <n v="193.57334245356989"/>
    <n v="-115.51934245356991"/>
  </r>
  <r>
    <n v="1168"/>
    <n v="1168"/>
    <n v="1168"/>
    <n v="18058"/>
    <n v="4295863497"/>
    <d v="2014-12-31T00:00:00"/>
    <s v="Empresa Nacional del Petroleo"/>
    <x v="2"/>
    <s v="Chile"/>
    <n v="50.585999999999999"/>
    <n v="137.91300000000001"/>
    <n v="533.10500000000002"/>
    <n v="0.2586976299228107"/>
    <n v="2.4377917915497382E-2"/>
    <n v="5657.2920000000004"/>
    <n v="2014"/>
    <n v="0"/>
    <n v="0"/>
    <n v="4295"/>
    <n v="0"/>
    <n v="0"/>
    <n v="0"/>
    <n v="600000000"/>
    <s v="ENAP"/>
    <n v="0"/>
    <n v="1"/>
    <n v="0"/>
    <n v="0"/>
    <n v="1"/>
    <s v="ENAP"/>
    <n v="0"/>
    <n v="0"/>
    <n v="0"/>
    <n v="7"/>
    <x v="0"/>
    <n v="6511.9750909090899"/>
    <n v="5"/>
    <x v="0"/>
    <n v="2014"/>
    <s v="2013-2016"/>
    <n v="3.5494312143141332E-2"/>
    <n v="200.80168813289629"/>
    <n v="-150.2156881328963"/>
  </r>
  <r>
    <n v="1169"/>
    <n v="1169"/>
    <n v="1169"/>
    <n v="18059"/>
    <n v="4295863497"/>
    <d v="2013-12-31T00:00:00"/>
    <s v="Empresa Nacional del Petroleo"/>
    <x v="2"/>
    <s v="Chile"/>
    <n v="178.17500000000001"/>
    <n v="103.90900000000001"/>
    <n v="217.86199999999999"/>
    <n v="0.47694871065169703"/>
    <n v="1.6561707898134711E-2"/>
    <n v="6274.0510000000004"/>
    <n v="2013"/>
    <n v="0"/>
    <n v="0"/>
    <n v="4295"/>
    <n v="0"/>
    <n v="249535747"/>
    <n v="0"/>
    <n v="0"/>
    <s v="ENAP"/>
    <n v="0"/>
    <n v="1"/>
    <n v="1"/>
    <n v="0"/>
    <n v="0"/>
    <s v="ENAP"/>
    <n v="0"/>
    <n v="0"/>
    <n v="0"/>
    <n v="7"/>
    <x v="0"/>
    <n v="6511.9750909090899"/>
    <n v="5"/>
    <x v="0"/>
    <n v="2013"/>
    <s v="2013-2016"/>
    <n v="3.5494312143141332E-2"/>
    <n v="222.693124595988"/>
    <n v="-44.518124595988013"/>
  </r>
  <r>
    <n v="1345"/>
    <n v="1345"/>
    <n v="1345"/>
    <n v="1700"/>
    <s v="ENES.SG^L15"/>
    <d v="2023-12-31T00:00:00"/>
    <s v="Enel Americas SA"/>
    <x v="0"/>
    <s v="Chile"/>
    <n v="1450462000"/>
    <n v="777561000"/>
    <n v="14504637000"/>
    <n v="5.3607753161971583E-2"/>
    <n v="2.1098026085153911E-2"/>
    <n v="36854680000"/>
    <n v="2023"/>
    <n v="0"/>
    <n v="0"/>
    <s v="ENES"/>
    <n v="0"/>
    <n v="0"/>
    <n v="0"/>
    <n v="0"/>
    <n v="0"/>
    <n v="0"/>
    <n v="0"/>
    <n v="0"/>
    <n v="0"/>
    <n v="0"/>
    <n v="0"/>
    <n v="0"/>
    <n v="0"/>
    <n v="0"/>
    <n v="1"/>
    <x v="0"/>
    <n v="27692820849.0909"/>
    <n v="10"/>
    <x v="0"/>
    <n v="2023"/>
    <s v="2020-2023"/>
    <n v="3.5835499651311283E-2"/>
    <n v="1320705872.2891891"/>
    <n v="129756127.71081141"/>
  </r>
  <r>
    <n v="1346"/>
    <n v="1346"/>
    <n v="1346"/>
    <n v="1701"/>
    <s v="ENES.SG^L15"/>
    <d v="2022-12-31T00:00:00"/>
    <s v="Enel Americas SA"/>
    <x v="0"/>
    <s v="Chile"/>
    <n v="655261000"/>
    <n v="-36449000"/>
    <n v="12957150000"/>
    <n v="-2.813041448157967E-3"/>
    <n v="-1.048178811960678E-3"/>
    <n v="34773647000"/>
    <n v="2022"/>
    <n v="0"/>
    <n v="0"/>
    <s v="ENES"/>
    <n v="0"/>
    <n v="0"/>
    <n v="0"/>
    <n v="0"/>
    <n v="0"/>
    <n v="0"/>
    <n v="0"/>
    <n v="0"/>
    <n v="0"/>
    <n v="0"/>
    <n v="0"/>
    <n v="0"/>
    <n v="0"/>
    <n v="0"/>
    <n v="1"/>
    <x v="0"/>
    <n v="27692820849.0909"/>
    <n v="10"/>
    <x v="0"/>
    <n v="2022"/>
    <s v="2020-2023"/>
    <n v="3.5835499651311283E-2"/>
    <n v="1246131014.943321"/>
    <n v="-590870014.94332147"/>
  </r>
  <r>
    <n v="1347"/>
    <n v="1347"/>
    <n v="1347"/>
    <n v="1702"/>
    <s v="ENES.SG^L15"/>
    <d v="2021-12-31T00:00:00"/>
    <s v="Enel Americas SA"/>
    <x v="0"/>
    <s v="Chile"/>
    <n v="1940803000"/>
    <n v="1134511000"/>
    <n v="12832657000"/>
    <n v="8.8408113767865851E-2"/>
    <n v="3.2452673476522663E-2"/>
    <n v="34958938000"/>
    <n v="2021"/>
    <n v="0"/>
    <n v="0"/>
    <s v="ENES"/>
    <n v="0"/>
    <n v="0"/>
    <n v="0"/>
    <n v="0"/>
    <n v="0"/>
    <n v="0"/>
    <n v="0"/>
    <n v="0"/>
    <n v="0"/>
    <n v="0"/>
    <n v="0"/>
    <n v="0"/>
    <n v="0"/>
    <n v="0"/>
    <n v="1"/>
    <x v="0"/>
    <n v="27692820849.0909"/>
    <n v="10"/>
    <x v="0"/>
    <n v="2021"/>
    <s v="2020-2023"/>
    <n v="3.5835499651311283E-2"/>
    <n v="1252771010.509212"/>
    <n v="688031989.49078751"/>
  </r>
  <r>
    <n v="1348"/>
    <n v="1348"/>
    <n v="1348"/>
    <n v="1703"/>
    <s v="ENES.SG^L15"/>
    <d v="2020-12-31T00:00:00"/>
    <s v="Enel Americas SA"/>
    <x v="0"/>
    <s v="Chile"/>
    <n v="1747812000"/>
    <n v="1181252000"/>
    <n v="8105859000"/>
    <n v="0.1457281702037995"/>
    <n v="4.3858000491431542E-2"/>
    <n v="26933558000"/>
    <n v="2020"/>
    <n v="0"/>
    <n v="0"/>
    <s v="ENES"/>
    <n v="0"/>
    <n v="0"/>
    <n v="0"/>
    <n v="0"/>
    <n v="0"/>
    <n v="0"/>
    <n v="0"/>
    <n v="0"/>
    <n v="0"/>
    <n v="0"/>
    <n v="0"/>
    <n v="0"/>
    <n v="0"/>
    <n v="0"/>
    <n v="1"/>
    <x v="0"/>
    <n v="27692820849.0909"/>
    <n v="10"/>
    <x v="0"/>
    <n v="2020"/>
    <s v="2020-2023"/>
    <n v="3.5835499651311283E-2"/>
    <n v="965177508.317572"/>
    <n v="782634491.682428"/>
  </r>
  <r>
    <n v="1349"/>
    <n v="1349"/>
    <n v="1349"/>
    <n v="1704"/>
    <s v="ENES.SG^L15"/>
    <d v="2019-12-31T00:00:00"/>
    <s v="Enel Americas SA"/>
    <x v="0"/>
    <s v="Chile"/>
    <n v="2406109000"/>
    <n v="2169763000"/>
    <n v="9966287000"/>
    <n v="0.2177102666218623"/>
    <n v="7.2868586057998175E-2"/>
    <n v="29776384000"/>
    <n v="2019"/>
    <n v="0"/>
    <n v="0"/>
    <s v="ENES"/>
    <n v="0"/>
    <n v="0"/>
    <n v="0"/>
    <n v="0"/>
    <n v="0"/>
    <n v="0"/>
    <n v="0"/>
    <n v="0"/>
    <n v="0"/>
    <n v="0"/>
    <n v="0"/>
    <n v="0"/>
    <n v="0"/>
    <n v="0"/>
    <n v="1"/>
    <x v="0"/>
    <n v="27692820849.0909"/>
    <n v="10"/>
    <x v="0"/>
    <n v="2019"/>
    <s v="2017-2019"/>
    <n v="4.4682896773591482E-2"/>
    <n v="1330495092.5628209"/>
    <n v="1075613907.4371791"/>
  </r>
  <r>
    <n v="1350"/>
    <n v="1350"/>
    <n v="1350"/>
    <n v="1705"/>
    <s v="ENES.SG^L15"/>
    <d v="2018-12-31T00:00:00"/>
    <s v="Enel Americas SA"/>
    <x v="0"/>
    <s v="Chile"/>
    <n v="2104990000"/>
    <n v="1667058000"/>
    <n v="6724008000"/>
    <n v="0.2479262368515921"/>
    <n v="6.0849625402736043E-2"/>
    <n v="27396356000"/>
    <n v="2018"/>
    <n v="0"/>
    <n v="0"/>
    <s v="ENES"/>
    <n v="0"/>
    <n v="0"/>
    <n v="0"/>
    <n v="0"/>
    <n v="0"/>
    <n v="0"/>
    <n v="0"/>
    <n v="0"/>
    <n v="0"/>
    <n v="0"/>
    <n v="0"/>
    <n v="0"/>
    <n v="0"/>
    <n v="0"/>
    <n v="1"/>
    <x v="0"/>
    <n v="27692820849.0909"/>
    <n v="10"/>
    <x v="0"/>
    <n v="2018"/>
    <s v="2017-2019"/>
    <n v="4.4682896773591482E-2"/>
    <n v="1224148547.120564"/>
    <n v="880841452.87943649"/>
  </r>
  <r>
    <n v="1351"/>
    <n v="1351"/>
    <n v="1351"/>
    <n v="1706"/>
    <s v="ENES.SG^L15"/>
    <d v="2017-12-31T00:00:00"/>
    <s v="Enel Americas SA"/>
    <x v="0"/>
    <s v="Chile"/>
    <n v="1645648000"/>
    <n v="1126514000"/>
    <n v="6480471000"/>
    <n v="0.17383211806672691"/>
    <n v="5.5853760854967897E-2"/>
    <n v="20168991000"/>
    <n v="2017"/>
    <n v="0"/>
    <n v="0"/>
    <s v="ENES"/>
    <n v="0"/>
    <n v="0"/>
    <n v="0"/>
    <n v="0"/>
    <n v="0"/>
    <n v="0"/>
    <n v="0"/>
    <n v="0"/>
    <n v="0"/>
    <n v="0"/>
    <n v="0"/>
    <n v="0"/>
    <n v="0"/>
    <n v="0"/>
    <n v="1"/>
    <x v="0"/>
    <n v="27692820849.0909"/>
    <n v="10"/>
    <x v="0"/>
    <n v="2017"/>
    <s v="2017-2019"/>
    <n v="4.4682896773591482E-2"/>
    <n v="901208942.88049555"/>
    <n v="744439057.11950445"/>
  </r>
  <r>
    <n v="1352"/>
    <n v="1352"/>
    <n v="1352"/>
    <n v="1707"/>
    <s v="ENES.SG^L15"/>
    <d v="2016-12-31T00:00:00"/>
    <s v="Enel Americas SA"/>
    <x v="0"/>
    <s v="Chile"/>
    <n v="1376069000"/>
    <n v="844608000"/>
    <n v="6199634000"/>
    <n v="0.1362351390420789"/>
    <n v="5.0120725358591821E-2"/>
    <n v="16851472000"/>
    <n v="2016"/>
    <n v="0"/>
    <n v="0"/>
    <s v="ENES"/>
    <n v="0"/>
    <n v="0"/>
    <n v="0"/>
    <n v="600000000"/>
    <s v="ENELA"/>
    <n v="0"/>
    <n v="1"/>
    <n v="0"/>
    <n v="0"/>
    <n v="1"/>
    <s v="ENEL"/>
    <n v="0"/>
    <n v="0"/>
    <n v="0"/>
    <n v="1"/>
    <x v="0"/>
    <n v="27692820849.0909"/>
    <n v="10"/>
    <x v="0"/>
    <n v="2016"/>
    <s v="2013-2016"/>
    <n v="5.573875737993636E-2"/>
    <n v="939280109.30279088"/>
    <n v="436788890.69720912"/>
  </r>
  <r>
    <n v="1353"/>
    <n v="1353"/>
    <n v="1353"/>
    <n v="1708"/>
    <s v="ENES.SG^L15"/>
    <d v="2015-12-31T00:00:00"/>
    <s v="Enel Americas SA"/>
    <x v="0"/>
    <s v="Chile"/>
    <n v="1956832809"/>
    <n v="1156151758"/>
    <n v="8485622000"/>
    <n v="0.13624832192619471"/>
    <n v="5.3145480354152501E-2"/>
    <n v="21754470000"/>
    <n v="2015"/>
    <n v="0"/>
    <n v="0"/>
    <s v="ENES"/>
    <n v="0"/>
    <n v="0"/>
    <n v="0"/>
    <n v="0"/>
    <n v="0"/>
    <n v="0"/>
    <n v="0"/>
    <n v="0"/>
    <n v="0"/>
    <n v="0"/>
    <n v="0"/>
    <n v="0"/>
    <n v="0"/>
    <n v="0"/>
    <n v="1"/>
    <x v="0"/>
    <n v="27692820849.0909"/>
    <n v="10"/>
    <x v="0"/>
    <n v="2015"/>
    <s v="2013-2016"/>
    <n v="5.573875737993636E-2"/>
    <n v="1212567125.259104"/>
    <n v="744265683.74089575"/>
  </r>
  <r>
    <n v="1354"/>
    <n v="1354"/>
    <n v="1354"/>
    <n v="1709"/>
    <s v="ENES.SG^L15"/>
    <d v="2014-12-31T00:00:00"/>
    <s v="Enel Americas SA"/>
    <x v="0"/>
    <s v="Chile"/>
    <n v="2065245568"/>
    <n v="1310417736"/>
    <n v="10227058502"/>
    <n v="0.12813241810866099"/>
    <n v="4.9912574610506077E-2"/>
    <n v="26254260499"/>
    <n v="2014"/>
    <n v="0"/>
    <n v="0"/>
    <s v="ENES"/>
    <n v="0"/>
    <n v="0"/>
    <n v="0"/>
    <n v="0"/>
    <n v="0"/>
    <n v="0"/>
    <n v="0"/>
    <n v="0"/>
    <n v="0"/>
    <n v="0"/>
    <n v="0"/>
    <n v="0"/>
    <n v="0"/>
    <n v="0"/>
    <n v="1"/>
    <x v="0"/>
    <n v="27692820849.0909"/>
    <n v="10"/>
    <x v="0"/>
    <n v="2014"/>
    <s v="2013-2016"/>
    <n v="5.573875737993636E-2"/>
    <n v="1463379856.1434081"/>
    <n v="601865711.85659218"/>
  </r>
  <r>
    <n v="1355"/>
    <n v="1355"/>
    <n v="1355"/>
    <n v="1710"/>
    <s v="ENES.SG^L15"/>
    <d v="2013-12-31T00:00:00"/>
    <s v="Enel Americas SA"/>
    <x v="0"/>
    <s v="Chile"/>
    <n v="3267488433"/>
    <n v="2249069507"/>
    <n v="11744927298"/>
    <n v="0.19149284196786689"/>
    <n v="7.7827125495510158E-2"/>
    <n v="28898272841"/>
    <n v="2013"/>
    <n v="0"/>
    <n v="0"/>
    <s v="ENES"/>
    <n v="0"/>
    <n v="0"/>
    <n v="0"/>
    <n v="0"/>
    <n v="0"/>
    <n v="0"/>
    <n v="0"/>
    <n v="0"/>
    <n v="0"/>
    <n v="0"/>
    <n v="0"/>
    <n v="0"/>
    <n v="0"/>
    <n v="0"/>
    <n v="1"/>
    <x v="0"/>
    <n v="27692820849.0909"/>
    <n v="10"/>
    <x v="0"/>
    <n v="2013"/>
    <s v="2013-2016"/>
    <n v="5.573875737993636E-2"/>
    <n v="1610753818.583703"/>
    <n v="1656734614.416297"/>
  </r>
  <r>
    <n v="1356"/>
    <n v="1356"/>
    <n v="1356"/>
    <n v="1838"/>
    <s v="ENELCHILE.SN"/>
    <d v="2023-12-31T00:00:00"/>
    <s v="Enel Chile SA"/>
    <x v="0"/>
    <s v="Chile"/>
    <n v="1029918776.2611001"/>
    <n v="772233517.68152797"/>
    <n v="5049035769.60639"/>
    <n v="0.15294673139971229"/>
    <n v="5.7464037637129872E-2"/>
    <n v="13438553040.0418"/>
    <n v="2023"/>
    <n v="0"/>
    <n v="0"/>
    <s v="ENEL"/>
    <n v="0"/>
    <n v="0"/>
    <n v="0"/>
    <n v="0"/>
    <n v="0"/>
    <n v="0"/>
    <n v="0"/>
    <n v="0"/>
    <n v="0"/>
    <n v="0"/>
    <n v="0"/>
    <n v="0"/>
    <n v="0"/>
    <n v="0"/>
    <n v="1"/>
    <x v="0"/>
    <n v="10430684900.840599"/>
    <n v="10"/>
    <x v="0"/>
    <n v="2023"/>
    <s v="2020-2023"/>
    <n v="3.5835499651311283E-2"/>
    <n v="481577262.78054601"/>
    <n v="548341513.4805541"/>
  </r>
  <r>
    <n v="1357"/>
    <n v="1357"/>
    <n v="1357"/>
    <n v="1839"/>
    <s v="ENELCHILE.SN"/>
    <d v="2022-12-31T00:00:00"/>
    <s v="Enel Chile SA"/>
    <x v="0"/>
    <s v="Chile"/>
    <n v="2097995599.1979201"/>
    <n v="1543977104.2698801"/>
    <n v="4832744627.2705803"/>
    <n v="0.31948245217788013"/>
    <n v="0.11031772728894459"/>
    <n v="13995729808.9172"/>
    <n v="2022"/>
    <n v="0"/>
    <n v="0"/>
    <s v="ENEL"/>
    <n v="0"/>
    <n v="0"/>
    <n v="0"/>
    <n v="0"/>
    <n v="0"/>
    <n v="0"/>
    <n v="0"/>
    <n v="0"/>
    <n v="0"/>
    <n v="0"/>
    <n v="0"/>
    <n v="0"/>
    <n v="0"/>
    <n v="0"/>
    <n v="1"/>
    <x v="0"/>
    <n v="10430684900.840599"/>
    <n v="10"/>
    <x v="0"/>
    <n v="2022"/>
    <s v="2020-2023"/>
    <n v="3.5835499651311283E-2"/>
    <n v="501543970.68729907"/>
    <n v="1596451628.5106211"/>
  </r>
  <r>
    <n v="1358"/>
    <n v="1358"/>
    <n v="1358"/>
    <n v="1840"/>
    <s v="ENELCHILE.SN"/>
    <d v="2021-12-31T00:00:00"/>
    <s v="Enel Chile SA"/>
    <x v="0"/>
    <s v="Chile"/>
    <n v="136116545.64681"/>
    <n v="118329378.451416"/>
    <n v="3639840621.5485802"/>
    <n v="3.250949444074077E-2"/>
    <n v="1.0600705647795319E-2"/>
    <n v="11162405823.0525"/>
    <n v="2021"/>
    <n v="0"/>
    <n v="0"/>
    <s v="ENEL"/>
    <n v="0"/>
    <n v="0"/>
    <n v="0"/>
    <n v="0"/>
    <n v="0"/>
    <n v="0"/>
    <n v="0"/>
    <n v="0"/>
    <n v="0"/>
    <n v="0"/>
    <n v="0"/>
    <n v="0"/>
    <n v="0"/>
    <n v="0"/>
    <n v="1"/>
    <x v="0"/>
    <n v="10430684900.840599"/>
    <n v="10"/>
    <x v="0"/>
    <n v="2021"/>
    <s v="2020-2023"/>
    <n v="3.5835499651311283E-2"/>
    <n v="400010389.97979277"/>
    <n v="-263893844.33298281"/>
  </r>
  <r>
    <n v="1359"/>
    <n v="1359"/>
    <n v="1359"/>
    <n v="1841"/>
    <s v="ENELCHILE.SN"/>
    <d v="2020-12-31T00:00:00"/>
    <s v="Enel Chile SA"/>
    <x v="0"/>
    <s v="Chile"/>
    <n v="-188364835.50545999"/>
    <n v="-73810264.177527294"/>
    <n v="4722671067.2772102"/>
    <n v="-1.5628923362660009E-2"/>
    <n v="-6.6274936209574954E-3"/>
    <n v="11136980040.859501"/>
    <n v="2020"/>
    <n v="0"/>
    <n v="0"/>
    <s v="ENEL"/>
    <n v="0"/>
    <n v="0"/>
    <n v="0"/>
    <n v="0"/>
    <n v="0"/>
    <n v="0"/>
    <n v="0"/>
    <n v="0"/>
    <n v="0"/>
    <n v="0"/>
    <n v="0"/>
    <n v="0"/>
    <n v="0"/>
    <n v="0"/>
    <n v="1"/>
    <x v="0"/>
    <n v="10430684900.840599"/>
    <n v="10"/>
    <x v="0"/>
    <n v="2020"/>
    <s v="2020-2023"/>
    <n v="3.5835499651311283E-2"/>
    <n v="399099244.37088132"/>
    <n v="-587464079.87634122"/>
  </r>
  <r>
    <n v="1360"/>
    <n v="1360"/>
    <n v="1360"/>
    <n v="1842"/>
    <s v="ENELCHILE.SN"/>
    <d v="2019-12-31T00:00:00"/>
    <s v="Enel Chile SA"/>
    <x v="0"/>
    <s v="Chile"/>
    <n v="502090648.03725898"/>
    <n v="420616391.217565"/>
    <n v="4636990001.3306704"/>
    <n v="9.07089277951562E-2"/>
    <n v="4.0225718263120457E-2"/>
    <n v="10456404742.514999"/>
    <n v="2019"/>
    <n v="0"/>
    <n v="0"/>
    <s v="ENEL"/>
    <n v="0"/>
    <n v="0"/>
    <n v="0"/>
    <n v="0"/>
    <n v="0"/>
    <n v="0"/>
    <n v="0"/>
    <n v="0"/>
    <n v="0"/>
    <n v="0"/>
    <n v="0"/>
    <n v="0"/>
    <n v="0"/>
    <n v="0"/>
    <n v="1"/>
    <x v="0"/>
    <n v="10430684900.840599"/>
    <n v="10"/>
    <x v="0"/>
    <n v="2019"/>
    <s v="2017-2019"/>
    <n v="4.4682896773591482E-2"/>
    <n v="467222453.7326901"/>
    <n v="34868194.304568887"/>
  </r>
  <r>
    <n v="1361"/>
    <n v="1361"/>
    <n v="1361"/>
    <n v="1843"/>
    <s v="ENELCHILE.SN"/>
    <d v="2018-12-31T00:00:00"/>
    <s v="Enel Chile SA"/>
    <x v="0"/>
    <s v="Chile"/>
    <n v="817392330.23020899"/>
    <n v="595868885.04005206"/>
    <n v="4937906500.6855698"/>
    <n v="0.1206723709647647"/>
    <n v="5.5134434464378233E-2"/>
    <n v="10807563201.2701"/>
    <n v="2018"/>
    <n v="0"/>
    <n v="0"/>
    <s v="ENEL"/>
    <n v="0"/>
    <n v="0"/>
    <n v="0"/>
    <n v="1000000000"/>
    <s v="ENELC"/>
    <n v="0"/>
    <n v="1"/>
    <n v="0"/>
    <n v="0"/>
    <n v="1"/>
    <s v="ENEL"/>
    <n v="0"/>
    <n v="0"/>
    <n v="0"/>
    <n v="1"/>
    <x v="0"/>
    <n v="10430684900.840599"/>
    <n v="10"/>
    <x v="0"/>
    <n v="2018"/>
    <s v="2017-2019"/>
    <n v="4.4682896773591482E-2"/>
    <n v="482913230.89641768"/>
    <n v="334479099.33379132"/>
  </r>
  <r>
    <n v="1362"/>
    <n v="1362"/>
    <n v="1362"/>
    <n v="1844"/>
    <s v="ENELCHILE.SN"/>
    <d v="2017-12-31T00:00:00"/>
    <s v="Enel Chile SA"/>
    <x v="0"/>
    <s v="Chile"/>
    <n v="1084780300.9842999"/>
    <n v="851570667.85975802"/>
    <n v="4853793231.9205999"/>
    <n v="0.17544436426740809"/>
    <n v="9.1911988461121141E-2"/>
    <n v="9265066310.9086494"/>
    <n v="2017"/>
    <n v="0"/>
    <n v="0"/>
    <s v="ENEL"/>
    <n v="0"/>
    <n v="0"/>
    <n v="0"/>
    <n v="0"/>
    <n v="0"/>
    <n v="0"/>
    <n v="0"/>
    <n v="0"/>
    <n v="0"/>
    <n v="0"/>
    <n v="0"/>
    <n v="0"/>
    <n v="0"/>
    <n v="0"/>
    <n v="1"/>
    <x v="0"/>
    <n v="10430684900.840599"/>
    <n v="10"/>
    <x v="0"/>
    <n v="2017"/>
    <s v="2017-2019"/>
    <n v="4.4682896773591482E-2"/>
    <n v="413990001.57081121"/>
    <n v="670790299.41348875"/>
  </r>
  <r>
    <n v="1363"/>
    <n v="1363"/>
    <n v="1363"/>
    <n v="1845"/>
    <s v="ENELCHILE.SN"/>
    <d v="2016-12-31T00:00:00"/>
    <s v="Enel Chile SA"/>
    <x v="0"/>
    <s v="Chile"/>
    <n v="847973011.69896495"/>
    <n v="698913862.45125401"/>
    <n v="4128839946.80931"/>
    <n v="0.16927608516076331"/>
    <n v="8.664587861069975E-2"/>
    <n v="8066325527.0510502"/>
    <n v="2016"/>
    <n v="0"/>
    <n v="0"/>
    <s v="ENEL"/>
    <n v="0"/>
    <n v="0"/>
    <n v="0"/>
    <n v="0"/>
    <n v="0"/>
    <n v="0"/>
    <n v="0"/>
    <n v="0"/>
    <n v="0"/>
    <n v="0"/>
    <n v="0"/>
    <n v="0"/>
    <n v="0"/>
    <n v="0"/>
    <n v="1"/>
    <x v="0"/>
    <n v="10430684900.840599"/>
    <n v="10"/>
    <x v="0"/>
    <n v="2016"/>
    <s v="2013-2016"/>
    <n v="5.573875737993636E-2"/>
    <n v="449606961.4998858"/>
    <n v="398366050.19907922"/>
  </r>
  <r>
    <n v="1364"/>
    <n v="1364"/>
    <n v="1364"/>
    <n v="1846"/>
    <s v="ENELCHILE.SN"/>
    <d v="2015-12-31T00:00:00"/>
    <s v="Enel Chile SA"/>
    <x v="0"/>
    <s v="Chile"/>
    <n v="645024741.117468"/>
    <n v="490171878.22278702"/>
    <n v="3662755530.12644"/>
    <n v="0.13382598816412569"/>
    <n v="6.515260392461926E-2"/>
    <n v="7523442636.1517296"/>
    <n v="2015"/>
    <n v="0"/>
    <n v="0"/>
    <s v="ENEL"/>
    <n v="0"/>
    <n v="0"/>
    <n v="0"/>
    <n v="0"/>
    <n v="0"/>
    <n v="0"/>
    <n v="0"/>
    <n v="0"/>
    <n v="0"/>
    <n v="0"/>
    <n v="0"/>
    <n v="0"/>
    <n v="0"/>
    <n v="0"/>
    <n v="1"/>
    <x v="0"/>
    <n v="10430684900.840599"/>
    <n v="10"/>
    <x v="0"/>
    <n v="2015"/>
    <s v="2013-2016"/>
    <n v="5.573875737993636E-2"/>
    <n v="419347343.75833011"/>
    <n v="225677397.35913789"/>
  </r>
  <r>
    <n v="1365"/>
    <n v="1365"/>
    <n v="1365"/>
    <n v="1847"/>
    <s v="ENELCHILE.SN"/>
    <d v="2014-12-31T00:00:00"/>
    <s v="Enel Chile SA"/>
    <x v="0"/>
    <s v="Chile"/>
    <n v="547899983.50923502"/>
    <n v="329088748.350923"/>
    <n v="4076849330.4749298"/>
    <n v="8.0721341819268572E-2"/>
    <n v="3.8925247145783382E-2"/>
    <n v="8454377877.6385202"/>
    <n v="2014"/>
    <n v="0"/>
    <n v="0"/>
    <s v="ENEL"/>
    <n v="0"/>
    <n v="0"/>
    <n v="0"/>
    <n v="0"/>
    <n v="0"/>
    <n v="0"/>
    <n v="0"/>
    <n v="0"/>
    <n v="0"/>
    <n v="0"/>
    <n v="0"/>
    <n v="0"/>
    <n v="0"/>
    <n v="0"/>
    <n v="1"/>
    <x v="0"/>
    <n v="10430684900.840599"/>
    <n v="10"/>
    <x v="0"/>
    <n v="2014"/>
    <s v="2013-2016"/>
    <n v="5.573875737993636E-2"/>
    <n v="471236517.31999469"/>
    <n v="76663466.189240277"/>
  </r>
  <r>
    <n v="1377"/>
    <n v="1377"/>
    <n v="1377"/>
    <n v="612"/>
    <s v="ENELGXCH.SN"/>
    <d v="2023-12-31T00:00:00"/>
    <s v="Enel Generacion Chile SA"/>
    <x v="0"/>
    <s v="Chile"/>
    <n v="773985196.12073898"/>
    <n v="586665896.341048"/>
    <n v="2661650224.8518"/>
    <n v="0.22041434703303789"/>
    <n v="0.1114747819510615"/>
    <n v="5262767830.2936697"/>
    <n v="2023"/>
    <n v="0"/>
    <n v="0"/>
    <s v="ENEL"/>
    <n v="0"/>
    <n v="0"/>
    <n v="0"/>
    <n v="0"/>
    <n v="0"/>
    <n v="0"/>
    <n v="0"/>
    <n v="0"/>
    <n v="0"/>
    <n v="0"/>
    <n v="0"/>
    <n v="0"/>
    <n v="0"/>
    <n v="0"/>
    <n v="1"/>
    <x v="0"/>
    <n v="6792617521.6621799"/>
    <n v="10"/>
    <x v="0"/>
    <n v="2023"/>
    <s v="2020-2023"/>
    <n v="3.5835499651311283E-2"/>
    <n v="188593914.747421"/>
    <n v="585391281.37331796"/>
  </r>
  <r>
    <n v="1378"/>
    <n v="1378"/>
    <n v="1378"/>
    <n v="613"/>
    <s v="ENELGXCH.SN"/>
    <d v="2022-12-31T00:00:00"/>
    <s v="Enel Generacion Chile SA"/>
    <x v="0"/>
    <s v="Chile"/>
    <n v="885845731.30455303"/>
    <n v="721050693.55980206"/>
    <n v="2443247071.2432199"/>
    <n v="0.29511984360750843"/>
    <n v="0.1387030920221273"/>
    <n v="5198519247.4640198"/>
    <n v="2022"/>
    <n v="0"/>
    <n v="0"/>
    <s v="ENEL"/>
    <n v="0"/>
    <n v="0"/>
    <n v="0"/>
    <n v="0"/>
    <n v="0"/>
    <n v="0"/>
    <n v="0"/>
    <n v="0"/>
    <n v="0"/>
    <n v="0"/>
    <n v="0"/>
    <n v="0"/>
    <n v="0"/>
    <n v="0"/>
    <n v="1"/>
    <x v="0"/>
    <n v="6792617521.6621799"/>
    <n v="10"/>
    <x v="0"/>
    <n v="2022"/>
    <s v="2020-2023"/>
    <n v="3.5835499651311283E-2"/>
    <n v="186291534.6798318"/>
    <n v="699554196.62472117"/>
  </r>
  <r>
    <n v="1379"/>
    <n v="1379"/>
    <n v="1379"/>
    <n v="614"/>
    <s v="ENELGXCH.SN"/>
    <d v="2021-12-31T00:00:00"/>
    <s v="Enel Generacion Chile SA"/>
    <x v="0"/>
    <s v="Chile"/>
    <n v="152121630.83069"/>
    <n v="145292524.96768901"/>
    <n v="1762323289.8601799"/>
    <n v="8.2443741056850192E-2"/>
    <n v="3.7450880223264607E-2"/>
    <n v="3879549001.2924399"/>
    <n v="2021"/>
    <n v="0"/>
    <n v="0"/>
    <s v="ENEL"/>
    <n v="0"/>
    <n v="0"/>
    <n v="0"/>
    <n v="0"/>
    <n v="0"/>
    <n v="0"/>
    <n v="0"/>
    <n v="0"/>
    <n v="0"/>
    <n v="0"/>
    <n v="0"/>
    <n v="0"/>
    <n v="0"/>
    <n v="0"/>
    <n v="1"/>
    <x v="0"/>
    <n v="6792617521.6621799"/>
    <n v="10"/>
    <x v="0"/>
    <n v="2021"/>
    <s v="2020-2023"/>
    <n v="3.5835499651311283E-2"/>
    <n v="139025576.88306019"/>
    <n v="13096053.94762975"/>
  </r>
  <r>
    <n v="1380"/>
    <n v="1380"/>
    <n v="1380"/>
    <n v="615"/>
    <s v="ENELGXCH.SN"/>
    <d v="2020-12-31T00:00:00"/>
    <s v="Enel Generacion Chile SA"/>
    <x v="0"/>
    <s v="Chile"/>
    <n v="-381988476.22402298"/>
    <n v="-209485947.16449499"/>
    <n v="2436375688.6227498"/>
    <n v="-8.5982612674531556E-2"/>
    <n v="-4.8102403324915582E-2"/>
    <n v="4354999598.45016"/>
    <n v="2020"/>
    <n v="0"/>
    <n v="0"/>
    <s v="ENEL"/>
    <n v="0"/>
    <n v="0"/>
    <n v="0"/>
    <n v="0"/>
    <n v="0"/>
    <n v="0"/>
    <n v="0"/>
    <n v="0"/>
    <n v="0"/>
    <n v="0"/>
    <n v="0"/>
    <n v="0"/>
    <n v="0"/>
    <n v="0"/>
    <n v="1"/>
    <x v="0"/>
    <n v="6792617521.6621799"/>
    <n v="10"/>
    <x v="0"/>
    <n v="2020"/>
    <s v="2020-2023"/>
    <n v="3.5835499651311283E-2"/>
    <n v="156063586.59172139"/>
    <n v="-538052062.8157444"/>
  </r>
  <r>
    <n v="1381"/>
    <n v="1381"/>
    <n v="1381"/>
    <n v="616"/>
    <s v="ENELGXCH.SN"/>
    <d v="2019-12-31T00:00:00"/>
    <s v="Enel Generacion Chile SA"/>
    <x v="0"/>
    <s v="Chile"/>
    <n v="299113238.85562199"/>
    <n v="267898952.76114401"/>
    <n v="2613140721.2242198"/>
    <n v="0.1025199104607107"/>
    <n v="5.6123475590714372E-2"/>
    <n v="4773384932.8010597"/>
    <n v="2019"/>
    <n v="0"/>
    <n v="0"/>
    <s v="ENEL"/>
    <n v="0"/>
    <n v="0"/>
    <n v="0"/>
    <n v="0"/>
    <n v="0"/>
    <n v="0"/>
    <n v="0"/>
    <n v="0"/>
    <n v="0"/>
    <n v="0"/>
    <n v="0"/>
    <n v="0"/>
    <n v="0"/>
    <n v="0"/>
    <n v="1"/>
    <x v="0"/>
    <n v="6792617521.6621799"/>
    <n v="10"/>
    <x v="0"/>
    <n v="2019"/>
    <s v="2017-2019"/>
    <n v="4.4682896773591482E-2"/>
    <n v="213288666.21296659"/>
    <n v="85824572.642655373"/>
  </r>
  <r>
    <n v="1382"/>
    <n v="1382"/>
    <n v="1382"/>
    <n v="617"/>
    <s v="ENELGXCH.SN"/>
    <d v="2018-12-31T00:00:00"/>
    <s v="Enel Generacion Chile SA"/>
    <x v="0"/>
    <s v="Chile"/>
    <n v="610741143.104568"/>
    <n v="459270023.81467801"/>
    <n v="2844079649.2747302"/>
    <n v="0.16148282764577171"/>
    <n v="8.6722664590183351E-2"/>
    <n v="5295847700.07938"/>
    <n v="2018"/>
    <n v="0"/>
    <n v="0"/>
    <s v="ENEL"/>
    <n v="0"/>
    <n v="0"/>
    <n v="0"/>
    <n v="0"/>
    <n v="0"/>
    <n v="0"/>
    <n v="0"/>
    <n v="0"/>
    <n v="0"/>
    <n v="0"/>
    <n v="0"/>
    <n v="0"/>
    <n v="0"/>
    <n v="0"/>
    <n v="1"/>
    <x v="0"/>
    <n v="6792617521.6621799"/>
    <n v="10"/>
    <x v="0"/>
    <n v="2018"/>
    <s v="2017-2019"/>
    <n v="4.4682896773591482E-2"/>
    <n v="236633816.11130881"/>
    <n v="374107326.99325931"/>
  </r>
  <r>
    <n v="1383"/>
    <n v="1383"/>
    <n v="1383"/>
    <n v="618"/>
    <s v="ENELGXCH.SN"/>
    <d v="2017-12-31T00:00:00"/>
    <s v="Enel Generacion Chile SA"/>
    <x v="0"/>
    <s v="Chile"/>
    <n v="874712005.20621502"/>
    <n v="692332571.38208699"/>
    <n v="3191275891.9710398"/>
    <n v="0.21694538323180801"/>
    <n v="0.1197205630931973"/>
    <n v="5782904402.5054903"/>
    <n v="2017"/>
    <n v="0"/>
    <n v="0"/>
    <s v="ENEL"/>
    <n v="0"/>
    <n v="0"/>
    <n v="0"/>
    <n v="0"/>
    <n v="0"/>
    <n v="0"/>
    <n v="0"/>
    <n v="0"/>
    <n v="0"/>
    <n v="0"/>
    <n v="0"/>
    <n v="0"/>
    <n v="0"/>
    <n v="0"/>
    <n v="1"/>
    <x v="0"/>
    <n v="6792617521.6621799"/>
    <n v="10"/>
    <x v="0"/>
    <n v="2017"/>
    <s v="2017-2019"/>
    <n v="4.4682896773591482E-2"/>
    <n v="258396920.4687005"/>
    <n v="616315084.7375145"/>
  </r>
  <r>
    <n v="1384"/>
    <n v="1384"/>
    <n v="1384"/>
    <n v="619"/>
    <s v="ENELGXCH.SN"/>
    <d v="2016-12-31T00:00:00"/>
    <s v="Enel Generacion Chile SA"/>
    <x v="0"/>
    <s v="Chile"/>
    <n v="784528176.12694097"/>
    <n v="660192036.33701396"/>
    <n v="2541443151.69807"/>
    <n v="0.25977053073011108"/>
    <n v="0.129970939689144"/>
    <n v="5079535763.2715302"/>
    <n v="2016"/>
    <n v="0"/>
    <n v="0"/>
    <s v="ENEL"/>
    <n v="0"/>
    <n v="0"/>
    <n v="0"/>
    <n v="0"/>
    <n v="0"/>
    <n v="0"/>
    <n v="0"/>
    <n v="0"/>
    <n v="0"/>
    <n v="0"/>
    <n v="0"/>
    <n v="0"/>
    <n v="0"/>
    <n v="0"/>
    <n v="1"/>
    <x v="0"/>
    <n v="6792617521.6621799"/>
    <n v="10"/>
    <x v="0"/>
    <n v="2016"/>
    <s v="2013-2016"/>
    <n v="5.573875737993636E-2"/>
    <n v="283127011.51170158"/>
    <n v="501401164.61523932"/>
  </r>
  <r>
    <n v="1385"/>
    <n v="1385"/>
    <n v="1385"/>
    <n v="620"/>
    <s v="ENELGXCH.SN"/>
    <d v="2015-12-31T00:00:00"/>
    <s v="Enel Generacion Chile SA"/>
    <x v="0"/>
    <s v="Chile"/>
    <n v="424506718.93762797"/>
    <n v="316212844.529208"/>
    <n v="3741173846.1538501"/>
    <n v="8.4522360503052715E-2"/>
    <n v="3.0751246674896319E-2"/>
    <n v="10282927644.2749"/>
    <n v="2015"/>
    <n v="0"/>
    <n v="0"/>
    <s v="ENEL"/>
    <n v="0"/>
    <n v="0"/>
    <n v="0"/>
    <n v="0"/>
    <n v="0"/>
    <n v="0"/>
    <n v="0"/>
    <n v="0"/>
    <n v="0"/>
    <n v="0"/>
    <n v="0"/>
    <n v="0"/>
    <n v="0"/>
    <n v="0"/>
    <n v="1"/>
    <x v="0"/>
    <n v="6792617521.6621799"/>
    <n v="10"/>
    <x v="0"/>
    <n v="2015"/>
    <s v="2013-2016"/>
    <n v="5.573875737993636E-2"/>
    <n v="573157609.11967921"/>
    <n v="-148650890.18205121"/>
  </r>
  <r>
    <n v="1386"/>
    <n v="1386"/>
    <n v="1386"/>
    <n v="621"/>
    <s v="ENELGXCH.SN"/>
    <d v="2014-12-31T00:00:00"/>
    <s v="Enel Generacion Chile SA"/>
    <x v="0"/>
    <s v="Chile"/>
    <n v="269055631.59630603"/>
    <n v="212825245.712401"/>
    <n v="4452969135.8839102"/>
    <n v="4.7794008720465873E-2"/>
    <n v="1.78313179708839E-2"/>
    <n v="11935474767.4802"/>
    <n v="2014"/>
    <n v="0"/>
    <n v="0"/>
    <s v="ENEL"/>
    <n v="0"/>
    <n v="0"/>
    <n v="0"/>
    <n v="400000000"/>
    <s v="ENELG"/>
    <n v="0"/>
    <n v="1"/>
    <n v="0"/>
    <n v="0"/>
    <n v="1"/>
    <s v="ENEL"/>
    <n v="0"/>
    <n v="0"/>
    <n v="0"/>
    <n v="1"/>
    <x v="0"/>
    <n v="6792617521.6621799"/>
    <n v="10"/>
    <x v="0"/>
    <n v="2014"/>
    <s v="2013-2016"/>
    <n v="5.573875737993636E-2"/>
    <n v="665268532.27893114"/>
    <n v="-396212900.68262511"/>
  </r>
  <r>
    <n v="1387"/>
    <n v="1387"/>
    <n v="1387"/>
    <n v="622"/>
    <s v="ENELGXCH.SN"/>
    <d v="2013-12-31T00:00:00"/>
    <s v="Enel Generacion Chile SA"/>
    <x v="0"/>
    <s v="Chile"/>
    <n v="1462809221.3973"/>
    <n v="1072732223.49134"/>
    <n v="5048482480.48734"/>
    <n v="0.21248607430797439"/>
    <n v="8.3332717254793021E-2"/>
    <n v="12872881850.371201"/>
    <n v="2013"/>
    <n v="0"/>
    <n v="0"/>
    <s v="ENEL"/>
    <n v="0"/>
    <n v="0"/>
    <n v="0"/>
    <n v="0"/>
    <n v="0"/>
    <n v="0"/>
    <n v="0"/>
    <n v="0"/>
    <n v="0"/>
    <n v="0"/>
    <n v="0"/>
    <n v="0"/>
    <n v="0"/>
    <n v="0"/>
    <n v="1"/>
    <x v="0"/>
    <n v="6792617521.6621799"/>
    <n v="10"/>
    <x v="0"/>
    <n v="2013"/>
    <s v="2013-2016"/>
    <n v="5.573875737993636E-2"/>
    <n v="717518438.23842657"/>
    <n v="745290783.15887344"/>
  </r>
  <r>
    <n v="983"/>
    <n v="983"/>
    <n v="983"/>
    <n v="2367"/>
    <s v="ECL.SN"/>
    <d v="2023-12-31T00:00:00"/>
    <s v="ENGIE Energia Chile SA"/>
    <x v="0"/>
    <s v="Chile"/>
    <n v="-499104000"/>
    <n v="-411054000"/>
    <n v="1386013000"/>
    <n v="-0.29657297586674869"/>
    <n v="-9.6515836849085032E-2"/>
    <n v="4258928000"/>
    <n v="2023"/>
    <n v="0"/>
    <n v="0"/>
    <s v="ECL."/>
    <n v="0"/>
    <n v="0"/>
    <n v="0"/>
    <n v="0"/>
    <n v="0"/>
    <n v="0"/>
    <n v="0"/>
    <n v="0"/>
    <n v="0"/>
    <n v="0"/>
    <n v="0"/>
    <n v="0"/>
    <n v="0"/>
    <n v="0"/>
    <n v="2"/>
    <x v="0"/>
    <n v="3549229090.90909"/>
    <n v="9"/>
    <x v="0"/>
    <n v="2023"/>
    <s v="2020-2023"/>
    <n v="3.5835499651311283E-2"/>
    <n v="152620812.85895979"/>
    <n v="-651724812.85895979"/>
  </r>
  <r>
    <n v="984"/>
    <n v="984"/>
    <n v="984"/>
    <n v="2368"/>
    <s v="ECL.SN"/>
    <d v="2022-12-31T00:00:00"/>
    <s v="ENGIE Energia Chile SA"/>
    <x v="0"/>
    <s v="Chile"/>
    <n v="-521427000"/>
    <n v="-388769000"/>
    <n v="1802243000"/>
    <n v="-0.2157139741977081"/>
    <n v="-8.9541015035706412E-2"/>
    <n v="4341798000"/>
    <n v="2022"/>
    <n v="0"/>
    <n v="0"/>
    <s v="ECL."/>
    <n v="0"/>
    <n v="0"/>
    <n v="0"/>
    <n v="0"/>
    <n v="0"/>
    <n v="0"/>
    <n v="0"/>
    <n v="0"/>
    <n v="0"/>
    <n v="0"/>
    <n v="0"/>
    <n v="0"/>
    <n v="0"/>
    <n v="0"/>
    <n v="2"/>
    <x v="0"/>
    <n v="3549229090.90909"/>
    <n v="9"/>
    <x v="0"/>
    <n v="2022"/>
    <s v="2020-2023"/>
    <n v="3.5835499651311283E-2"/>
    <n v="155590500.71506399"/>
    <n v="-677017500.71506405"/>
  </r>
  <r>
    <n v="985"/>
    <n v="985"/>
    <n v="985"/>
    <n v="2369"/>
    <s v="ECL.SN"/>
    <d v="2021-12-31T00:00:00"/>
    <s v="ENGIE Energia Chile SA"/>
    <x v="0"/>
    <s v="Chile"/>
    <n v="60797000"/>
    <n v="47374000"/>
    <n v="2172011000"/>
    <n v="2.1811123424328879E-2"/>
    <n v="1.184687043463865E-2"/>
    <n v="3998862000"/>
    <n v="2021"/>
    <n v="0"/>
    <n v="0"/>
    <s v="ECL."/>
    <n v="0"/>
    <n v="0"/>
    <n v="0"/>
    <n v="0"/>
    <n v="0"/>
    <n v="0"/>
    <n v="0"/>
    <n v="0"/>
    <n v="0"/>
    <n v="0"/>
    <n v="0"/>
    <n v="0"/>
    <n v="0"/>
    <n v="0"/>
    <n v="2"/>
    <x v="0"/>
    <n v="3549229090.90909"/>
    <n v="9"/>
    <x v="0"/>
    <n v="2021"/>
    <s v="2020-2023"/>
    <n v="3.5835499651311283E-2"/>
    <n v="143301217.80664191"/>
    <n v="-82504217.806641906"/>
  </r>
  <r>
    <n v="986"/>
    <n v="986"/>
    <n v="986"/>
    <n v="2370"/>
    <s v="ECL.SN"/>
    <d v="2020-12-31T00:00:00"/>
    <s v="ENGIE Energia Chile SA"/>
    <x v="0"/>
    <s v="Chile"/>
    <n v="203722000"/>
    <n v="163531000"/>
    <n v="2168008000"/>
    <n v="7.5429149707934656E-2"/>
    <n v="4.3948368440572108E-2"/>
    <n v="3720980000"/>
    <n v="2020"/>
    <n v="0"/>
    <n v="0"/>
    <s v="ECL."/>
    <n v="0"/>
    <n v="0"/>
    <n v="0"/>
    <n v="500000000"/>
    <s v="ECLX"/>
    <n v="0"/>
    <n v="1"/>
    <n v="0"/>
    <n v="0"/>
    <n v="1"/>
    <s v="ECLX"/>
    <n v="0"/>
    <n v="0"/>
    <n v="0"/>
    <n v="2"/>
    <x v="0"/>
    <n v="3549229090.90909"/>
    <n v="9"/>
    <x v="0"/>
    <n v="2020"/>
    <s v="2020-2023"/>
    <n v="3.5835499651311283E-2"/>
    <n v="133343177.4925362"/>
    <n v="70378822.507463768"/>
  </r>
  <r>
    <n v="987"/>
    <n v="987"/>
    <n v="987"/>
    <n v="2371"/>
    <s v="ECL.SN"/>
    <d v="2019-12-31T00:00:00"/>
    <s v="ENGIE Energia Chile SA"/>
    <x v="0"/>
    <s v="Chile"/>
    <n v="161321000"/>
    <n v="118717000"/>
    <n v="2059251000"/>
    <n v="5.7650572951038988E-2"/>
    <n v="3.3843816191961321E-2"/>
    <n v="3507790000"/>
    <n v="2019"/>
    <n v="0"/>
    <n v="0"/>
    <s v="ECL."/>
    <n v="0"/>
    <n v="0"/>
    <n v="0"/>
    <n v="0"/>
    <n v="0"/>
    <n v="0"/>
    <n v="0"/>
    <n v="0"/>
    <n v="0"/>
    <n v="0"/>
    <n v="0"/>
    <n v="0"/>
    <n v="0"/>
    <n v="0"/>
    <n v="2"/>
    <x v="0"/>
    <n v="3549229090.90909"/>
    <n v="9"/>
    <x v="0"/>
    <n v="2019"/>
    <s v="2017-2019"/>
    <n v="4.4682896773591482E-2"/>
    <n v="156738218.47343639"/>
    <n v="4582781.526563555"/>
  </r>
  <r>
    <n v="988"/>
    <n v="988"/>
    <n v="988"/>
    <n v="2372"/>
    <s v="ECL.SN"/>
    <d v="2018-12-31T00:00:00"/>
    <s v="ENGIE Energia Chile SA"/>
    <x v="0"/>
    <s v="Chile"/>
    <n v="149562000"/>
    <n v="111223000"/>
    <n v="2069806000"/>
    <n v="5.373595399762103E-2"/>
    <n v="3.2119976804469069E-2"/>
    <n v="3462736000"/>
    <n v="2018"/>
    <n v="0"/>
    <n v="0"/>
    <s v="ECL."/>
    <n v="0"/>
    <n v="0"/>
    <n v="0"/>
    <n v="0"/>
    <n v="0"/>
    <n v="0"/>
    <n v="0"/>
    <n v="0"/>
    <n v="0"/>
    <n v="0"/>
    <n v="0"/>
    <n v="0"/>
    <n v="0"/>
    <n v="0"/>
    <n v="2"/>
    <x v="0"/>
    <n v="3549229090.90909"/>
    <n v="9"/>
    <x v="0"/>
    <n v="2018"/>
    <s v="2017-2019"/>
    <n v="4.4682896773591482E-2"/>
    <n v="154725075.24219909"/>
    <n v="-5163075.2421990633"/>
  </r>
  <r>
    <n v="989"/>
    <n v="989"/>
    <n v="989"/>
    <n v="2373"/>
    <s v="ECL.SN"/>
    <d v="2017-12-31T00:00:00"/>
    <s v="ENGIE Energia Chile SA"/>
    <x v="0"/>
    <s v="Chile"/>
    <n v="143494000"/>
    <n v="109010000"/>
    <n v="1991493000"/>
    <n v="5.4737827348627387E-2"/>
    <n v="3.2402919800023959E-2"/>
    <n v="3364203000"/>
    <n v="2017"/>
    <n v="0"/>
    <n v="0"/>
    <s v="ECL."/>
    <n v="0"/>
    <n v="0"/>
    <n v="0"/>
    <n v="0"/>
    <n v="0"/>
    <n v="0"/>
    <n v="0"/>
    <n v="0"/>
    <n v="0"/>
    <n v="0"/>
    <n v="0"/>
    <n v="0"/>
    <n v="0"/>
    <n v="0"/>
    <n v="2"/>
    <x v="0"/>
    <n v="3549229090.90909"/>
    <n v="9"/>
    <x v="0"/>
    <n v="2017"/>
    <s v="2017-2019"/>
    <n v="4.4682896773591482E-2"/>
    <n v="150322335.37440681"/>
    <n v="-6828335.374406755"/>
  </r>
  <r>
    <n v="990"/>
    <n v="990"/>
    <n v="990"/>
    <n v="2374"/>
    <s v="ECL.SN"/>
    <d v="2016-12-31T00:00:00"/>
    <s v="ENGIE Energia Chile SA"/>
    <x v="0"/>
    <s v="Chile"/>
    <n v="337998000"/>
    <n v="258576000"/>
    <n v="1922525000"/>
    <n v="0.1344981209607157"/>
    <n v="7.8047060769471766E-2"/>
    <n v="3313078000"/>
    <n v="2016"/>
    <n v="0"/>
    <n v="0"/>
    <s v="ECL."/>
    <n v="0"/>
    <n v="0"/>
    <n v="0"/>
    <n v="0"/>
    <n v="0"/>
    <n v="0"/>
    <n v="0"/>
    <n v="0"/>
    <n v="0"/>
    <n v="0"/>
    <n v="0"/>
    <n v="0"/>
    <n v="0"/>
    <n v="0"/>
    <n v="2"/>
    <x v="0"/>
    <n v="3549229090.90909"/>
    <n v="9"/>
    <x v="0"/>
    <n v="2016"/>
    <s v="2013-2016"/>
    <n v="5.573875737993636E-2"/>
    <n v="184666850.82280481"/>
    <n v="153331149.17719519"/>
  </r>
  <r>
    <n v="991"/>
    <n v="991"/>
    <n v="991"/>
    <n v="2375"/>
    <s v="ECL.SN"/>
    <d v="2015-12-31T00:00:00"/>
    <s v="ENGIE Energia Chile SA"/>
    <x v="0"/>
    <s v="Chile"/>
    <n v="134077000"/>
    <n v="100538000"/>
    <n v="1729046000"/>
    <n v="5.8146515477321019E-2"/>
    <n v="3.232116834314229E-2"/>
    <n v="3110593000"/>
    <n v="2015"/>
    <n v="0"/>
    <n v="0"/>
    <s v="ECL."/>
    <n v="0"/>
    <n v="0"/>
    <n v="0"/>
    <n v="0"/>
    <n v="0"/>
    <n v="0"/>
    <n v="0"/>
    <n v="0"/>
    <n v="0"/>
    <n v="0"/>
    <n v="0"/>
    <n v="0"/>
    <n v="0"/>
    <n v="0"/>
    <n v="2"/>
    <x v="0"/>
    <n v="3549229090.90909"/>
    <n v="9"/>
    <x v="0"/>
    <n v="2015"/>
    <s v="2013-2016"/>
    <n v="5.573875737993636E-2"/>
    <n v="173380588.53472841"/>
    <n v="-39303588.534728378"/>
  </r>
  <r>
    <n v="992"/>
    <n v="992"/>
    <n v="992"/>
    <n v="2376"/>
    <s v="ECL.SN"/>
    <d v="2014-12-31T00:00:00"/>
    <s v="ENGIE Energia Chile SA"/>
    <x v="0"/>
    <s v="Chile"/>
    <n v="121885000"/>
    <n v="94834000"/>
    <n v="1681862000"/>
    <n v="5.6386314691692897E-2"/>
    <n v="3.1976386419493748E-2"/>
    <n v="2965751000"/>
    <n v="2014"/>
    <n v="0"/>
    <n v="0"/>
    <s v="ECL."/>
    <n v="0"/>
    <n v="0"/>
    <n v="0"/>
    <n v="350000000"/>
    <s v="ECLX"/>
    <n v="0"/>
    <n v="1"/>
    <n v="0"/>
    <n v="0"/>
    <n v="1"/>
    <s v="ECLX"/>
    <n v="0"/>
    <n v="0"/>
    <n v="0"/>
    <n v="2"/>
    <x v="0"/>
    <n v="3549229090.90909"/>
    <n v="9"/>
    <x v="0"/>
    <n v="2014"/>
    <s v="2013-2016"/>
    <n v="5.573875737993636E-2"/>
    <n v="165307275.43830359"/>
    <n v="-43422275.438303649"/>
  </r>
  <r>
    <n v="993"/>
    <n v="993"/>
    <n v="993"/>
    <n v="2377"/>
    <s v="ECL.SN"/>
    <d v="2013-12-31T00:00:00"/>
    <s v="ENGIE Energia Chile SA"/>
    <x v="0"/>
    <s v="Chile"/>
    <n v="55037000"/>
    <n v="38474000"/>
    <n v="1683358000"/>
    <n v="2.2855506671783422E-2"/>
    <n v="1.283835663429103E-2"/>
    <n v="2996801000"/>
    <n v="2013"/>
    <n v="0"/>
    <n v="0"/>
    <s v="ECL."/>
    <n v="0"/>
    <n v="0"/>
    <n v="0"/>
    <n v="0"/>
    <n v="0"/>
    <n v="0"/>
    <n v="0"/>
    <n v="0"/>
    <n v="0"/>
    <n v="0"/>
    <n v="0"/>
    <n v="0"/>
    <n v="0"/>
    <n v="0"/>
    <n v="2"/>
    <x v="0"/>
    <n v="3549229090.90909"/>
    <n v="9"/>
    <x v="0"/>
    <n v="2013"/>
    <s v="2013-2016"/>
    <n v="5.573875737993636E-2"/>
    <n v="167037963.8549507"/>
    <n v="-112000963.8549507"/>
  </r>
  <r>
    <n v="1410"/>
    <n v="1410"/>
    <n v="1410"/>
    <n v="646"/>
    <s v="ENJOY.SN"/>
    <d v="2023-12-31T00:00:00"/>
    <s v="Enjoy SA"/>
    <x v="6"/>
    <s v="Chile"/>
    <n v="-117038992.482228"/>
    <n v="-104828402.87083501"/>
    <n v="70255592.904676497"/>
    <n v="-1.4921004654115899"/>
    <n v="-0.10712755536909151"/>
    <n v="978538178.24615598"/>
    <n v="2023"/>
    <n v="0"/>
    <n v="0"/>
    <s v="ENJO"/>
    <n v="0"/>
    <n v="0"/>
    <n v="0"/>
    <n v="0"/>
    <n v="0"/>
    <n v="0"/>
    <n v="0"/>
    <n v="0"/>
    <n v="0"/>
    <n v="0"/>
    <n v="0"/>
    <n v="0"/>
    <n v="0"/>
    <n v="0"/>
    <n v="2"/>
    <x v="0"/>
    <n v="921513006.471012"/>
    <n v="8"/>
    <x v="0"/>
    <n v="2023"/>
    <s v="2020-2023"/>
    <n v="-1.5354960049200639E-2"/>
    <n v="-15025414.633587301"/>
    <n v="-102013577.8486407"/>
  </r>
  <r>
    <n v="1411"/>
    <n v="1411"/>
    <n v="1411"/>
    <n v="647"/>
    <s v="ENJOY.SN"/>
    <d v="2022-12-31T00:00:00"/>
    <s v="Enjoy SA"/>
    <x v="6"/>
    <s v="Chile"/>
    <n v="-101870147.44043399"/>
    <n v="-69137576.079264"/>
    <n v="178454876.15003499"/>
    <n v="-0.38742329473326892"/>
    <n v="-6.6750416779305169E-2"/>
    <n v="1035762462.84501"/>
    <n v="2022"/>
    <n v="0"/>
    <n v="0"/>
    <s v="ENJO"/>
    <n v="0"/>
    <n v="0"/>
    <n v="0"/>
    <n v="0"/>
    <n v="0"/>
    <n v="0"/>
    <n v="0"/>
    <n v="0"/>
    <n v="0"/>
    <n v="0"/>
    <n v="0"/>
    <n v="0"/>
    <n v="0"/>
    <n v="0"/>
    <n v="2"/>
    <x v="0"/>
    <n v="921513006.471012"/>
    <n v="8"/>
    <x v="0"/>
    <n v="2022"/>
    <s v="2020-2023"/>
    <n v="-1.5354960049200639E-2"/>
    <n v="-15904091.237446791"/>
    <n v="-85966056.202987194"/>
  </r>
  <r>
    <n v="1412"/>
    <n v="1412"/>
    <n v="1412"/>
    <n v="648"/>
    <s v="ENJOY.SN"/>
    <d v="2021-12-31T00:00:00"/>
    <s v="Enjoy SA"/>
    <x v="6"/>
    <s v="Chile"/>
    <n v="-89396649.042415693"/>
    <n v="-91698696.9803783"/>
    <n v="240262971.448713"/>
    <n v="-0.38165971405191118"/>
    <n v="-0.1031082385143197"/>
    <n v="889344035.95347202"/>
    <n v="2021"/>
    <n v="0"/>
    <n v="0"/>
    <s v="ENJO"/>
    <n v="0"/>
    <n v="0"/>
    <n v="0"/>
    <n v="0"/>
    <n v="0"/>
    <n v="0"/>
    <n v="0"/>
    <n v="0"/>
    <n v="0"/>
    <n v="0"/>
    <n v="0"/>
    <n v="0"/>
    <n v="0"/>
    <n v="0"/>
    <n v="2"/>
    <x v="0"/>
    <n v="921513006.471012"/>
    <n v="8"/>
    <x v="0"/>
    <n v="2021"/>
    <s v="2020-2023"/>
    <n v="-1.5354960049200639E-2"/>
    <n v="-13655842.14206042"/>
    <n v="-75740806.900355265"/>
  </r>
  <r>
    <n v="1413"/>
    <n v="1413"/>
    <n v="1413"/>
    <n v="649"/>
    <s v="ENJOY.SN"/>
    <d v="2020-12-31T00:00:00"/>
    <s v="Enjoy SA"/>
    <x v="6"/>
    <s v="Chile"/>
    <n v="-200748967.94646001"/>
    <n v="-195689949.98238799"/>
    <n v="21978655.864741102"/>
    <n v="-8.9036359269049008"/>
    <n v="-0.25088495142098061"/>
    <n v="779998755.89996505"/>
    <n v="2020"/>
    <n v="0"/>
    <n v="0"/>
    <s v="ENJO"/>
    <n v="0"/>
    <n v="0"/>
    <n v="0"/>
    <n v="210505263"/>
    <s v="ENJOY"/>
    <n v="0"/>
    <n v="1"/>
    <n v="0"/>
    <n v="0"/>
    <n v="1"/>
    <s v="ENJO"/>
    <n v="0"/>
    <n v="0"/>
    <n v="0"/>
    <n v="2"/>
    <x v="0"/>
    <n v="921513006.471012"/>
    <n v="8"/>
    <x v="0"/>
    <n v="2020"/>
    <s v="2020-2023"/>
    <n v="-1.5354960049200639E-2"/>
    <n v="-11976849.73527017"/>
    <n v="-188772118.21118981"/>
  </r>
  <r>
    <n v="1414"/>
    <n v="1414"/>
    <n v="1414"/>
    <n v="650"/>
    <s v="ENJOY.SN"/>
    <d v="2019-12-31T00:00:00"/>
    <s v="Enjoy SA"/>
    <x v="6"/>
    <s v="Chile"/>
    <n v="-38580268.795741796"/>
    <n v="-37135760.479041897"/>
    <n v="191143796.407186"/>
    <n v="-0.19428179819099681"/>
    <n v="-4.1520961309073422E-2"/>
    <n v="894385854.95675302"/>
    <n v="2019"/>
    <n v="0"/>
    <n v="0"/>
    <s v="ENJO"/>
    <n v="0"/>
    <n v="0"/>
    <n v="0"/>
    <n v="0"/>
    <n v="0"/>
    <n v="0"/>
    <n v="0"/>
    <n v="0"/>
    <n v="0"/>
    <n v="0"/>
    <n v="0"/>
    <n v="0"/>
    <n v="0"/>
    <n v="0"/>
    <n v="2"/>
    <x v="0"/>
    <n v="921513006.471012"/>
    <n v="8"/>
    <x v="0"/>
    <n v="2019"/>
    <s v="2017-2019"/>
    <n v="-2.3471768506872281E-2"/>
    <n v="-20992817.743365951"/>
    <n v="-17587451.052375838"/>
  </r>
  <r>
    <n v="1415"/>
    <n v="1415"/>
    <n v="1415"/>
    <n v="651"/>
    <s v="ENJOY.SN"/>
    <d v="2018-12-31T00:00:00"/>
    <s v="Enjoy SA"/>
    <x v="6"/>
    <s v="Chile"/>
    <n v="-37179346.1788266"/>
    <n v="-33974557.263476901"/>
    <n v="234849202.56909901"/>
    <n v="-0.14466541462273291"/>
    <n v="-3.6741798095536862E-2"/>
    <n v="924684120.66103804"/>
    <n v="2018"/>
    <n v="0"/>
    <n v="0"/>
    <s v="ENJO"/>
    <n v="0"/>
    <n v="0"/>
    <n v="0"/>
    <n v="0"/>
    <n v="0"/>
    <n v="0"/>
    <n v="0"/>
    <n v="0"/>
    <n v="0"/>
    <n v="0"/>
    <n v="0"/>
    <n v="0"/>
    <n v="0"/>
    <n v="0"/>
    <n v="2"/>
    <x v="0"/>
    <n v="921513006.471012"/>
    <n v="8"/>
    <x v="0"/>
    <n v="2018"/>
    <s v="2017-2019"/>
    <n v="-2.3471768506872281E-2"/>
    <n v="-21703971.622136641"/>
    <n v="-15475374.556689961"/>
  </r>
  <r>
    <n v="1416"/>
    <n v="1416"/>
    <n v="1416"/>
    <n v="652"/>
    <s v="ENJOY.SN"/>
    <d v="2017-12-31T00:00:00"/>
    <s v="Enjoy SA"/>
    <x v="6"/>
    <s v="Chile"/>
    <n v="859537.94842593395"/>
    <n v="6666942.1622061301"/>
    <n v="105170065.891158"/>
    <n v="6.3392012791033556E-2"/>
    <n v="7.8474538839934434E-3"/>
    <n v="849567549.01163304"/>
    <n v="2017"/>
    <n v="0"/>
    <n v="0"/>
    <s v="ENJO"/>
    <n v="0"/>
    <n v="0"/>
    <n v="0"/>
    <n v="300000000"/>
    <s v="ENJOY"/>
    <n v="0"/>
    <n v="1"/>
    <n v="0"/>
    <n v="0"/>
    <n v="1"/>
    <s v="ENJO"/>
    <n v="0"/>
    <n v="0"/>
    <n v="0"/>
    <n v="2"/>
    <x v="0"/>
    <n v="921513006.471012"/>
    <n v="8"/>
    <x v="0"/>
    <n v="2017"/>
    <s v="2017-2019"/>
    <n v="-2.3471768506872281E-2"/>
    <n v="-19940852.841351919"/>
    <n v="20800390.78977786"/>
  </r>
  <r>
    <n v="1417"/>
    <n v="1417"/>
    <n v="1417"/>
    <n v="653"/>
    <s v="ENJOY.SN"/>
    <d v="2016-12-31T00:00:00"/>
    <s v="Enjoy SA"/>
    <x v="6"/>
    <s v="Chile"/>
    <n v="-56133667.020275198"/>
    <n v="-54632332.770547897"/>
    <n v="114491452.13584501"/>
    <n v="-0.47717390033385382"/>
    <n v="-6.3641325561359111E-2"/>
    <n v="858441151.07053697"/>
    <n v="2016"/>
    <n v="0"/>
    <n v="0"/>
    <s v="ENJO"/>
    <n v="0"/>
    <n v="0"/>
    <n v="0"/>
    <n v="0"/>
    <n v="0"/>
    <n v="0"/>
    <n v="0"/>
    <n v="0"/>
    <n v="0"/>
    <n v="0"/>
    <n v="0"/>
    <n v="0"/>
    <n v="0"/>
    <n v="0"/>
    <n v="2"/>
    <x v="0"/>
    <n v="921513006.471012"/>
    <n v="8"/>
    <x v="0"/>
    <n v="2016"/>
    <s v="2013-2016"/>
    <n v="-3.9786520189691466E-3"/>
    <n v="-3415438.6188729899"/>
    <n v="-52718228.401402213"/>
  </r>
  <r>
    <n v="1418"/>
    <n v="1418"/>
    <n v="1418"/>
    <n v="654"/>
    <s v="ENJOY.SN"/>
    <d v="2015-12-31T00:00:00"/>
    <s v="Enjoy SA"/>
    <x v="6"/>
    <s v="Chile"/>
    <n v="17237424.595606402"/>
    <n v="14026050.716959801"/>
    <n v="176807957.90068501"/>
    <n v="7.9329295375032777E-2"/>
    <n v="1.56688117763236E-2"/>
    <n v="895157266.36999404"/>
    <n v="2015"/>
    <n v="0"/>
    <n v="0"/>
    <s v="ENJO"/>
    <n v="0"/>
    <n v="0"/>
    <n v="0"/>
    <n v="0"/>
    <n v="0"/>
    <n v="0"/>
    <n v="0"/>
    <n v="0"/>
    <n v="0"/>
    <n v="0"/>
    <n v="0"/>
    <n v="0"/>
    <n v="0"/>
    <n v="0"/>
    <n v="2"/>
    <x v="0"/>
    <n v="921513006.471012"/>
    <n v="8"/>
    <x v="0"/>
    <n v="2015"/>
    <s v="2013-2016"/>
    <n v="-3.9786520189691466E-3"/>
    <n v="-3561519.2651378792"/>
    <n v="20798943.860744279"/>
  </r>
  <r>
    <n v="1419"/>
    <n v="1419"/>
    <n v="1419"/>
    <n v="655"/>
    <s v="ENJOY.SN"/>
    <d v="2014-12-31T00:00:00"/>
    <s v="Enjoy SA"/>
    <x v="6"/>
    <s v="Chile"/>
    <n v="7644704.81530343"/>
    <n v="8157064.6437994698"/>
    <n v="234759579.485488"/>
    <n v="3.4746461301715319E-2"/>
    <n v="8.3679991611233275E-3"/>
    <n v="974792717.67809999"/>
    <n v="2014"/>
    <n v="0"/>
    <n v="0"/>
    <s v="ENJO"/>
    <n v="0"/>
    <n v="0"/>
    <n v="0"/>
    <n v="0"/>
    <n v="0"/>
    <n v="0"/>
    <n v="0"/>
    <n v="0"/>
    <n v="0"/>
    <n v="0"/>
    <n v="0"/>
    <n v="0"/>
    <n v="0"/>
    <n v="0"/>
    <n v="2"/>
    <x v="0"/>
    <n v="921513006.471012"/>
    <n v="8"/>
    <x v="0"/>
    <n v="2014"/>
    <s v="2013-2016"/>
    <n v="-3.9786520189691466E-3"/>
    <n v="-3878361.0142663941"/>
    <n v="11523065.82956982"/>
  </r>
  <r>
    <n v="1420"/>
    <n v="1420"/>
    <n v="1420"/>
    <n v="656"/>
    <s v="ENJOY.SN"/>
    <d v="2013-12-31T00:00:00"/>
    <s v="Enjoy SA"/>
    <x v="6"/>
    <s v="Chile"/>
    <n v="18154867.694650698"/>
    <n v="25015853.797829799"/>
    <n v="232861492.48048699"/>
    <n v="0.1074280402970708"/>
    <n v="2.36899065480356E-2"/>
    <n v="1055970978.48848"/>
    <n v="2013"/>
    <n v="0"/>
    <n v="0"/>
    <s v="ENJO"/>
    <n v="0"/>
    <n v="0"/>
    <n v="0"/>
    <n v="0"/>
    <n v="0"/>
    <n v="0"/>
    <n v="0"/>
    <n v="0"/>
    <n v="0"/>
    <n v="0"/>
    <n v="0"/>
    <n v="0"/>
    <n v="0"/>
    <n v="0"/>
    <n v="2"/>
    <x v="0"/>
    <n v="921513006.471012"/>
    <n v="8"/>
    <x v="0"/>
    <n v="2013"/>
    <s v="2013-2016"/>
    <n v="-3.9786520189691466E-3"/>
    <n v="-4201341.0655360166"/>
    <n v="22356208.760186721"/>
  </r>
  <r>
    <n v="1454"/>
    <n v="1454"/>
    <n v="1454"/>
    <n v="1190"/>
    <s v="FALABELLA.SN"/>
    <d v="2023-12-31T00:00:00"/>
    <s v="Falabella SA"/>
    <x v="3"/>
    <s v="Chile"/>
    <n v="225946370.57394001"/>
    <n v="214159430.14831099"/>
    <n v="7155718485.5436201"/>
    <n v="2.9928431446956411E-2"/>
    <n v="7.9106283609998457E-3"/>
    <n v="27072366489.132198"/>
    <n v="2023"/>
    <n v="0"/>
    <n v="0"/>
    <s v="FALA"/>
    <n v="0"/>
    <n v="0"/>
    <n v="0"/>
    <n v="0"/>
    <n v="0"/>
    <n v="0"/>
    <n v="0"/>
    <n v="0"/>
    <n v="0"/>
    <n v="0"/>
    <n v="0"/>
    <n v="0"/>
    <n v="0"/>
    <n v="0"/>
    <n v="4"/>
    <x v="0"/>
    <n v="23091572051.242001"/>
    <n v="10"/>
    <x v="0"/>
    <n v="2023"/>
    <s v="2020-2023"/>
    <n v="2.639308490294508E-2"/>
    <n v="714523267.27131128"/>
    <n v="-488576896.69737118"/>
  </r>
  <r>
    <n v="1455"/>
    <n v="1455"/>
    <n v="1455"/>
    <n v="1191"/>
    <s v="FALABELLA.SN"/>
    <d v="2022-12-31T00:00:00"/>
    <s v="Falabella SA"/>
    <x v="3"/>
    <s v="Chile"/>
    <n v="299908773.29558903"/>
    <n v="322578135.17338997"/>
    <n v="7027780457.6551104"/>
    <n v="4.5900428608582552E-2"/>
    <n v="1.170084938026765E-2"/>
    <n v="27568779384.2887"/>
    <n v="2022"/>
    <n v="0"/>
    <n v="0"/>
    <s v="FALA"/>
    <n v="0"/>
    <n v="0"/>
    <n v="0"/>
    <n v="0"/>
    <n v="0"/>
    <n v="0"/>
    <n v="0"/>
    <n v="0"/>
    <n v="0"/>
    <n v="0"/>
    <n v="0"/>
    <n v="0"/>
    <n v="0"/>
    <n v="0"/>
    <n v="4"/>
    <x v="0"/>
    <n v="23091572051.242001"/>
    <n v="10"/>
    <x v="0"/>
    <n v="2022"/>
    <s v="2020-2023"/>
    <n v="2.639308490294508E-2"/>
    <n v="727625134.96009362"/>
    <n v="-427716361.66450459"/>
  </r>
  <r>
    <n v="1456"/>
    <n v="1456"/>
    <n v="1456"/>
    <n v="1192"/>
    <s v="FALABELLA.SN"/>
    <d v="2021-12-31T00:00:00"/>
    <s v="Falabella SA"/>
    <x v="3"/>
    <s v="Chile"/>
    <n v="1061958434.9665101"/>
    <n v="816615830.10222101"/>
    <n v="6640120969.3338003"/>
    <n v="0.12298207124141471"/>
    <n v="3.242818465819608E-2"/>
    <n v="25182286295.382401"/>
    <n v="2021"/>
    <n v="0"/>
    <n v="0"/>
    <s v="FALA"/>
    <n v="0"/>
    <n v="0"/>
    <n v="0"/>
    <n v="650000000"/>
    <s v="FALAB"/>
    <n v="0"/>
    <n v="1"/>
    <n v="0"/>
    <n v="0"/>
    <n v="1"/>
    <s v="FALA"/>
    <n v="0"/>
    <n v="0"/>
    <n v="0"/>
    <n v="4"/>
    <x v="0"/>
    <n v="23091572051.242001"/>
    <n v="10"/>
    <x v="0"/>
    <n v="2021"/>
    <s v="2020-2023"/>
    <n v="2.639308490294508E-2"/>
    <n v="664638220.24429798"/>
    <n v="397320214.72221208"/>
  </r>
  <r>
    <n v="1457"/>
    <n v="1457"/>
    <n v="1457"/>
    <n v="1193"/>
    <s v="FALABELLA.SN"/>
    <d v="2020-12-31T00:00:00"/>
    <s v="Falabella SA"/>
    <x v="3"/>
    <s v="Chile"/>
    <n v="114562359.985911"/>
    <n v="51658248.679112397"/>
    <n v="7075364088.7636499"/>
    <n v="7.3011435215257119E-3"/>
    <n v="1.9380175228888249E-3"/>
    <n v="26655202065.515999"/>
    <n v="2020"/>
    <n v="0"/>
    <n v="0"/>
    <s v="FALA"/>
    <n v="0"/>
    <n v="0"/>
    <n v="0"/>
    <n v="0"/>
    <n v="0"/>
    <n v="0"/>
    <n v="0"/>
    <n v="0"/>
    <n v="0"/>
    <n v="0"/>
    <n v="0"/>
    <n v="0"/>
    <n v="0"/>
    <n v="0"/>
    <n v="4"/>
    <x v="0"/>
    <n v="23091572051.242001"/>
    <n v="10"/>
    <x v="0"/>
    <n v="2020"/>
    <s v="2020-2023"/>
    <n v="2.639308490294508E-2"/>
    <n v="703513011.22032082"/>
    <n v="-588950651.23440981"/>
  </r>
  <r>
    <n v="1458"/>
    <n v="1458"/>
    <n v="1458"/>
    <n v="1194"/>
    <s v="FALABELLA.SN"/>
    <d v="2019-12-31T00:00:00"/>
    <s v="Falabella SA"/>
    <x v="3"/>
    <s v="Chile"/>
    <n v="666565125.74850297"/>
    <n v="473954057.21889502"/>
    <n v="6997933627.4118404"/>
    <n v="6.7727715416212822E-2"/>
    <n v="1.9427450026088429E-2"/>
    <n v="24396102246.174301"/>
    <n v="2019"/>
    <n v="0"/>
    <n v="0"/>
    <s v="FALA"/>
    <n v="0"/>
    <n v="0"/>
    <n v="0"/>
    <n v="0"/>
    <n v="0"/>
    <n v="0"/>
    <n v="0"/>
    <n v="0"/>
    <n v="0"/>
    <n v="0"/>
    <n v="0"/>
    <n v="0"/>
    <n v="0"/>
    <n v="0"/>
    <n v="4"/>
    <x v="0"/>
    <n v="23091572051.242001"/>
    <n v="10"/>
    <x v="0"/>
    <n v="2019"/>
    <s v="2017-2019"/>
    <n v="2.6740380212775649E-2"/>
    <n v="652361049.77245092"/>
    <n v="14204075.97605205"/>
  </r>
  <r>
    <n v="1459"/>
    <n v="1459"/>
    <n v="1459"/>
    <n v="1195"/>
    <s v="FALABELLA.SN"/>
    <d v="2018-12-31T00:00:00"/>
    <s v="Falabella SA"/>
    <x v="3"/>
    <s v="Chile"/>
    <n v="1051057630.07866"/>
    <n v="784769254.52839696"/>
    <n v="7314516374.3956099"/>
    <n v="0.1072892880895685"/>
    <n v="3.4236513963557522E-2"/>
    <n v="22921996537.490101"/>
    <n v="2018"/>
    <n v="0"/>
    <n v="0"/>
    <s v="FALA"/>
    <n v="0"/>
    <n v="0"/>
    <n v="0"/>
    <n v="0"/>
    <n v="0"/>
    <n v="0"/>
    <n v="0"/>
    <n v="0"/>
    <n v="0"/>
    <n v="0"/>
    <n v="0"/>
    <n v="0"/>
    <n v="0"/>
    <n v="0"/>
    <n v="4"/>
    <x v="0"/>
    <n v="23091572051.242001"/>
    <n v="10"/>
    <x v="0"/>
    <n v="2018"/>
    <s v="2017-2019"/>
    <n v="2.6740380212775649E-2"/>
    <n v="612942902.64841235"/>
    <n v="438114727.43024772"/>
  </r>
  <r>
    <n v="1460"/>
    <n v="1460"/>
    <n v="1460"/>
    <n v="1196"/>
    <s v="FALABELLA.SN"/>
    <d v="2017-12-31T00:00:00"/>
    <s v="Falabella SA"/>
    <x v="3"/>
    <s v="Chile"/>
    <n v="1221247008.8668301"/>
    <n v="909304797.85243595"/>
    <n v="7156942206.1335697"/>
    <n v="0.12705213646592711"/>
    <n v="3.897353411360497E-2"/>
    <n v="23331340575.9375"/>
    <n v="2017"/>
    <n v="0"/>
    <n v="0"/>
    <s v="FALA"/>
    <n v="0"/>
    <n v="0"/>
    <n v="0"/>
    <n v="400000000"/>
    <s v="FALAB"/>
    <n v="0"/>
    <n v="1"/>
    <n v="0"/>
    <n v="0"/>
    <n v="1"/>
    <s v="FALA"/>
    <n v="0"/>
    <n v="0"/>
    <n v="0"/>
    <n v="4"/>
    <x v="0"/>
    <n v="23091572051.242001"/>
    <n v="10"/>
    <x v="0"/>
    <n v="2017"/>
    <s v="2017-2019"/>
    <n v="2.6740380212775649E-2"/>
    <n v="623888917.87432885"/>
    <n v="597358090.99250126"/>
  </r>
  <r>
    <n v="1461"/>
    <n v="1461"/>
    <n v="1461"/>
    <n v="1197"/>
    <s v="FALABELLA.SN"/>
    <d v="2016-12-31T00:00:00"/>
    <s v="Falabella SA"/>
    <x v="3"/>
    <s v="Chile"/>
    <n v="1280495598.32061"/>
    <n v="1013061587.65259"/>
    <n v="6245897043.1352596"/>
    <n v="0.16219633155273119"/>
    <n v="4.8634809953710029E-2"/>
    <n v="20829969082.161701"/>
    <n v="2016"/>
    <n v="0"/>
    <n v="0"/>
    <s v="FALA"/>
    <n v="0"/>
    <n v="0"/>
    <n v="0"/>
    <n v="0"/>
    <n v="0"/>
    <n v="0"/>
    <n v="0"/>
    <n v="0"/>
    <n v="0"/>
    <n v="0"/>
    <n v="0"/>
    <n v="0"/>
    <n v="0"/>
    <n v="0"/>
    <n v="4"/>
    <x v="0"/>
    <n v="23091572051.242001"/>
    <n v="10"/>
    <x v="0"/>
    <n v="2016"/>
    <s v="2013-2016"/>
    <n v="3.8046758435701003E-2"/>
    <n v="792512801.8921268"/>
    <n v="487982796.42848319"/>
  </r>
  <r>
    <n v="1462"/>
    <n v="1462"/>
    <n v="1462"/>
    <n v="1198"/>
    <s v="FALABELLA.SN"/>
    <d v="2015-12-31T00:00:00"/>
    <s v="Falabella SA"/>
    <x v="3"/>
    <s v="Chile"/>
    <n v="1042327527.01844"/>
    <n v="806013268.34781396"/>
    <n v="5560791046.1255903"/>
    <n v="0.1449457930826934"/>
    <n v="4.3511240890744131E-2"/>
    <n v="18524253775.517399"/>
    <n v="2015"/>
    <n v="0"/>
    <n v="0"/>
    <s v="FALA"/>
    <n v="0"/>
    <n v="0"/>
    <n v="0"/>
    <n v="0"/>
    <n v="0"/>
    <n v="0"/>
    <n v="0"/>
    <n v="0"/>
    <n v="0"/>
    <n v="0"/>
    <n v="0"/>
    <n v="0"/>
    <n v="0"/>
    <n v="0"/>
    <n v="4"/>
    <x v="0"/>
    <n v="23091572051.242001"/>
    <n v="10"/>
    <x v="0"/>
    <n v="2015"/>
    <s v="2013-2016"/>
    <n v="3.8046758435701003E-2"/>
    <n v="704787808.59873271"/>
    <n v="337539718.4197073"/>
  </r>
  <r>
    <n v="1463"/>
    <n v="1463"/>
    <n v="1463"/>
    <n v="1199"/>
    <s v="FALABELLA.SN"/>
    <d v="2014-12-31T00:00:00"/>
    <s v="Falabella SA"/>
    <x v="3"/>
    <s v="Chile"/>
    <n v="1062622707.78364"/>
    <n v="852746635.88390505"/>
    <n v="5680937818.2717695"/>
    <n v="0.15010666604045389"/>
    <n v="4.5578205771617773E-2"/>
    <n v="18709526218.6675"/>
    <n v="2014"/>
    <n v="0"/>
    <n v="0"/>
    <s v="FALA"/>
    <n v="0"/>
    <n v="0"/>
    <n v="0"/>
    <n v="400000000"/>
    <s v="FALAB"/>
    <n v="0"/>
    <n v="1"/>
    <n v="0"/>
    <n v="0"/>
    <n v="1"/>
    <s v="FALA"/>
    <n v="0"/>
    <n v="0"/>
    <n v="0"/>
    <n v="4"/>
    <x v="0"/>
    <n v="23091572051.242001"/>
    <n v="10"/>
    <x v="0"/>
    <n v="2014"/>
    <s v="2013-2016"/>
    <n v="3.8046758435701003E-2"/>
    <n v="711836824.48805678"/>
    <n v="350785883.29558319"/>
  </r>
  <r>
    <n v="1464"/>
    <n v="1464"/>
    <n v="1464"/>
    <n v="1200"/>
    <s v="FALABELLA.SN"/>
    <d v="2013-12-31T00:00:00"/>
    <s v="Falabella SA"/>
    <x v="3"/>
    <s v="Chile"/>
    <n v="1220002876.45155"/>
    <n v="946330475.91852295"/>
    <n v="6000434576.4325199"/>
    <n v="0.15771032312148819"/>
    <n v="5.0295341082645988E-2"/>
    <n v="18815469893.394299"/>
    <n v="2013"/>
    <n v="0"/>
    <n v="0"/>
    <s v="FALA"/>
    <n v="0"/>
    <n v="0"/>
    <n v="0"/>
    <n v="500000000"/>
    <s v="FALAB"/>
    <n v="0"/>
    <n v="1"/>
    <n v="0"/>
    <n v="0"/>
    <n v="1"/>
    <s v="FALA"/>
    <n v="0"/>
    <n v="0"/>
    <n v="0"/>
    <n v="4"/>
    <x v="0"/>
    <n v="23091572051.242001"/>
    <n v="10"/>
    <x v="0"/>
    <n v="2013"/>
    <s v="2013-2016"/>
    <n v="3.8046758435701003E-2"/>
    <n v="715867637.88817775"/>
    <n v="504135238.56337231"/>
  </r>
  <r>
    <n v="1861"/>
    <n v="1861"/>
    <n v="1861"/>
    <n v="8610"/>
    <n v="5000906040"/>
    <d v="2023-12-31T00:00:00"/>
    <s v="Inversiones Alsacia SA"/>
    <x v="4"/>
    <s v="Chile"/>
    <n v="183.687073199389"/>
    <n v="183.68518270473501"/>
    <n v="-247.90010457055601"/>
    <n v="-0.74096452287883374"/>
    <n v="19.47114658404649"/>
    <n v="9.4337116672541406"/>
    <n v="2023"/>
    <n v="0"/>
    <n v="0"/>
    <n v="5000"/>
    <n v="0"/>
    <n v="0"/>
    <n v="0"/>
    <n v="0"/>
    <n v="0"/>
    <n v="0"/>
    <n v="0"/>
    <n v="0"/>
    <n v="0"/>
    <n v="0"/>
    <n v="0"/>
    <n v="0"/>
    <n v="0"/>
    <n v="0"/>
    <n v="1"/>
    <x v="0"/>
    <n v="301.58504834471501"/>
    <n v="3"/>
    <x v="0"/>
    <n v="2023"/>
    <s v="2020-2023"/>
    <n v="5.4677413288106429E-2"/>
    <n v="0.51581095167128621"/>
    <n v="183.17126224771769"/>
  </r>
  <r>
    <n v="1862"/>
    <n v="1862"/>
    <n v="1862"/>
    <n v="8611"/>
    <n v="5000906040"/>
    <d v="2022-12-31T00:00:00"/>
    <s v="Inversiones Alsacia SA"/>
    <x v="4"/>
    <s v="Chile"/>
    <n v="-192.166464247975"/>
    <n v="-194.204553716097"/>
    <n v="-463.521585065164"/>
    <n v="0.41897628928929992"/>
    <n v="-15.239202531820499"/>
    <n v="12.7437477985206"/>
    <n v="2022"/>
    <n v="0"/>
    <n v="0"/>
    <n v="5000"/>
    <n v="0"/>
    <n v="0"/>
    <n v="0"/>
    <n v="0"/>
    <n v="0"/>
    <n v="0"/>
    <n v="0"/>
    <n v="0"/>
    <n v="0"/>
    <n v="0"/>
    <n v="0"/>
    <n v="0"/>
    <n v="0"/>
    <n v="0"/>
    <n v="1"/>
    <x v="0"/>
    <n v="301.58504834471501"/>
    <n v="3"/>
    <x v="0"/>
    <n v="2022"/>
    <s v="2020-2023"/>
    <n v="5.4677413288106429E-2"/>
    <n v="0.69679516521910734"/>
    <n v="-192.8632594131941"/>
  </r>
  <r>
    <n v="1863"/>
    <n v="1863"/>
    <n v="1863"/>
    <n v="8612"/>
    <n v="5000906040"/>
    <d v="2021-12-31T00:00:00"/>
    <s v="Inversiones Alsacia SA"/>
    <x v="4"/>
    <s v="Chile"/>
    <n v="-71.122142381902904"/>
    <n v="-71.874161011310704"/>
    <n v="-192.55352361942801"/>
    <n v="0.37326847964291859"/>
    <n v="-0.22323731550779721"/>
    <n v="321.96302328676001"/>
    <n v="2021"/>
    <n v="0"/>
    <n v="0"/>
    <n v="5000"/>
    <n v="0"/>
    <n v="0"/>
    <n v="0"/>
    <n v="0"/>
    <n v="0"/>
    <n v="0"/>
    <n v="0"/>
    <n v="0"/>
    <n v="0"/>
    <n v="0"/>
    <n v="0"/>
    <n v="0"/>
    <n v="0"/>
    <n v="0"/>
    <n v="1"/>
    <x v="0"/>
    <n v="301.58504834471501"/>
    <n v="3"/>
    <x v="0"/>
    <n v="2021"/>
    <s v="2020-2023"/>
    <n v="5.4677413288106429E-2"/>
    <n v="17.60410528773841"/>
    <n v="-88.72624766964131"/>
  </r>
  <r>
    <n v="1864"/>
    <n v="1864"/>
    <n v="1864"/>
    <n v="8613"/>
    <n v="5000906040"/>
    <d v="2020-12-31T00:00:00"/>
    <s v="Inversiones Alsacia SA"/>
    <x v="4"/>
    <s v="Chile"/>
    <n v="-100.717540593202"/>
    <n v="-101.59868225445599"/>
    <n v="-159.01995814389801"/>
    <n v="0.63890522573599728"/>
    <n v="-0.27674230703400787"/>
    <n v="367.12378148228299"/>
    <n v="2020"/>
    <n v="0"/>
    <n v="0"/>
    <n v="5000"/>
    <n v="0"/>
    <n v="0"/>
    <n v="0"/>
    <n v="0"/>
    <n v="0"/>
    <n v="0"/>
    <n v="0"/>
    <n v="0"/>
    <n v="0"/>
    <n v="0"/>
    <n v="0"/>
    <n v="0"/>
    <n v="0"/>
    <n v="0"/>
    <n v="1"/>
    <x v="0"/>
    <n v="301.58504834471501"/>
    <n v="3"/>
    <x v="0"/>
    <n v="2020"/>
    <s v="2020-2023"/>
    <n v="5.4677413288106429E-2"/>
    <n v="20.073378727999259"/>
    <n v="-120.7909193212013"/>
  </r>
  <r>
    <n v="1865"/>
    <n v="1865"/>
    <n v="1865"/>
    <n v="8614"/>
    <n v="5000906040"/>
    <d v="2019-12-31T00:00:00"/>
    <s v="Inversiones Alsacia SA"/>
    <x v="4"/>
    <s v="Chile"/>
    <n v="-10.108390140730499"/>
    <n v="-11.0691661921419"/>
    <n v="-187.521221833564"/>
    <n v="5.9028871953311128E-2"/>
    <n v="-4.2832803539680872E-2"/>
    <n v="258.42730985113502"/>
    <n v="2019"/>
    <n v="0"/>
    <n v="0"/>
    <n v="5000"/>
    <n v="0"/>
    <n v="0"/>
    <n v="0"/>
    <n v="0"/>
    <n v="0"/>
    <n v="0"/>
    <n v="0"/>
    <n v="0"/>
    <n v="0"/>
    <n v="0"/>
    <n v="0"/>
    <n v="0"/>
    <n v="0"/>
    <n v="0"/>
    <n v="1"/>
    <x v="0"/>
    <n v="301.58504834471501"/>
    <n v="3"/>
    <x v="0"/>
    <n v="2019"/>
    <s v="2017-2019"/>
    <n v="3.0717388517610751E-2"/>
    <n v="7.9382120802582916"/>
    <n v="-18.046602220988792"/>
  </r>
  <r>
    <n v="1866"/>
    <n v="1866"/>
    <n v="1866"/>
    <n v="8615"/>
    <n v="5000906040"/>
    <d v="2018-12-31T00:00:00"/>
    <s v="Inversiones Alsacia SA"/>
    <x v="4"/>
    <s v="Chile"/>
    <n v="-17.535978424898001"/>
    <n v="-18.123451717491701"/>
    <n v="-162.713385826772"/>
    <n v="0.1113826722085809"/>
    <n v="-6.6234820312765494E-2"/>
    <n v="273.62423015434302"/>
    <n v="2018"/>
    <n v="0"/>
    <n v="0"/>
    <n v="5000"/>
    <n v="0"/>
    <n v="0"/>
    <n v="0"/>
    <n v="0"/>
    <n v="0"/>
    <n v="0"/>
    <n v="0"/>
    <n v="0"/>
    <n v="0"/>
    <n v="0"/>
    <n v="0"/>
    <n v="0"/>
    <n v="0"/>
    <n v="0"/>
    <n v="1"/>
    <x v="0"/>
    <n v="301.58504834471501"/>
    <n v="3"/>
    <x v="0"/>
    <n v="2018"/>
    <s v="2017-2019"/>
    <n v="3.0717388517610751E-2"/>
    <n v="8.4050217854830986"/>
    <n v="-25.941000210381102"/>
  </r>
  <r>
    <n v="1867"/>
    <n v="1867"/>
    <n v="1867"/>
    <n v="8616"/>
    <n v="5000906040"/>
    <d v="2017-12-31T00:00:00"/>
    <s v="Inversiones Alsacia SA"/>
    <x v="4"/>
    <s v="Chile"/>
    <n v="-37.9914741823833"/>
    <n v="-62.362089425725799"/>
    <n v="-133.01665465847299"/>
    <n v="0.46882918222416298"/>
    <n v="-0.2213354204367444"/>
    <n v="281.75377127922599"/>
    <n v="2017"/>
    <n v="0"/>
    <n v="0"/>
    <n v="5000"/>
    <n v="0"/>
    <n v="0"/>
    <n v="0"/>
    <n v="0"/>
    <n v="0"/>
    <n v="0"/>
    <n v="0"/>
    <n v="0"/>
    <n v="0"/>
    <n v="0"/>
    <n v="0"/>
    <n v="0"/>
    <n v="0"/>
    <n v="0"/>
    <n v="1"/>
    <x v="0"/>
    <n v="301.58504834471501"/>
    <n v="3"/>
    <x v="0"/>
    <n v="2017"/>
    <s v="2017-2019"/>
    <n v="3.0717388517610751E-2"/>
    <n v="8.6547400586860235"/>
    <n v="-46.646214241069323"/>
  </r>
  <r>
    <n v="1868"/>
    <n v="1868"/>
    <n v="1868"/>
    <n v="8617"/>
    <n v="5000906040"/>
    <d v="2016-12-31T00:00:00"/>
    <s v="Inversiones Alsacia SA"/>
    <x v="4"/>
    <s v="Chile"/>
    <n v="-39.3433311345646"/>
    <n v="-28.743034300791599"/>
    <n v="-75.351842018469696"/>
    <n v="0.38145098422074819"/>
    <n v="-8.7132394550951134E-2"/>
    <n v="329.87770448548798"/>
    <n v="2016"/>
    <n v="0"/>
    <n v="0"/>
    <n v="5000"/>
    <n v="0"/>
    <n v="0"/>
    <n v="0"/>
    <n v="0"/>
    <n v="0"/>
    <n v="0"/>
    <n v="0"/>
    <n v="0"/>
    <n v="0"/>
    <n v="0"/>
    <n v="0"/>
    <n v="0"/>
    <n v="0"/>
    <n v="0"/>
    <n v="1"/>
    <x v="0"/>
    <n v="301.58504834471501"/>
    <n v="3"/>
    <x v="0"/>
    <n v="2016"/>
    <s v="2013-2016"/>
    <n v="4.6522305896109353E-2"/>
    <n v="15.346671476380241"/>
    <n v="-54.690002610944838"/>
  </r>
  <r>
    <n v="1869"/>
    <n v="1869"/>
    <n v="1869"/>
    <n v="8618"/>
    <n v="5000906040"/>
    <d v="2015-12-31T00:00:00"/>
    <s v="Inversiones Alsacia SA"/>
    <x v="4"/>
    <s v="Chile"/>
    <n v="-32.273830192271099"/>
    <n v="-28.300649152864999"/>
    <n v="-58.395084713496999"/>
    <n v="0.48464094695154708"/>
    <n v="-7.0825353787776074E-2"/>
    <n v="399.583590329336"/>
    <n v="2015"/>
    <n v="0"/>
    <n v="0"/>
    <n v="5000"/>
    <n v="0"/>
    <n v="0"/>
    <n v="0"/>
    <n v="0"/>
    <n v="0"/>
    <n v="0"/>
    <n v="0"/>
    <n v="0"/>
    <n v="0"/>
    <n v="0"/>
    <n v="0"/>
    <n v="0"/>
    <n v="0"/>
    <n v="0"/>
    <n v="1"/>
    <x v="0"/>
    <n v="301.58504834471501"/>
    <n v="3"/>
    <x v="0"/>
    <n v="2015"/>
    <s v="2013-2016"/>
    <n v="4.6522305896109353E-2"/>
    <n v="18.58955002036701"/>
    <n v="-50.863380212638113"/>
  </r>
  <r>
    <n v="1870"/>
    <n v="1870"/>
    <n v="1870"/>
    <n v="8619"/>
    <n v="5000906040"/>
    <d v="2014-12-31T00:00:00"/>
    <s v="Inversiones Alsacia SA"/>
    <x v="4"/>
    <s v="Chile"/>
    <n v="-25.629389871617899"/>
    <n v="-19.936174883954301"/>
    <n v="-29.504738008614598"/>
    <n v="0.67569401491155312"/>
    <n v="-3.8135238998249443E-2"/>
    <n v="522.77566386484295"/>
    <n v="2014"/>
    <n v="0"/>
    <n v="0"/>
    <n v="5000"/>
    <n v="0"/>
    <n v="347515410"/>
    <n v="0"/>
    <n v="0"/>
    <s v="GGPSIA"/>
    <n v="0"/>
    <n v="1"/>
    <n v="1"/>
    <n v="0"/>
    <n v="0"/>
    <s v="GGPS"/>
    <n v="0"/>
    <n v="0"/>
    <n v="0"/>
    <n v="1"/>
    <x v="0"/>
    <n v="301.58504834471501"/>
    <n v="3"/>
    <x v="0"/>
    <n v="2014"/>
    <s v="2013-2016"/>
    <n v="4.6522305896109353E-2"/>
    <n v="24.320729349361869"/>
    <n v="-49.950119220979772"/>
  </r>
  <r>
    <n v="1871"/>
    <n v="1871"/>
    <n v="1871"/>
    <n v="8620"/>
    <n v="5000906040"/>
    <d v="2013-12-31T00:00:00"/>
    <s v="Inversiones Alsacia SA"/>
    <x v="4"/>
    <s v="Chile"/>
    <n v="-18.772427539720798"/>
    <n v="-14.785694752046201"/>
    <n v="-4.5276244583533902"/>
    <n v="3.2656627969148029"/>
    <n v="-2.7374376895047351E-2"/>
    <n v="540.12899759268203"/>
    <n v="2013"/>
    <n v="0"/>
    <n v="0"/>
    <n v="5000"/>
    <n v="0"/>
    <n v="0"/>
    <n v="0"/>
    <n v="0"/>
    <n v="0"/>
    <n v="0"/>
    <n v="0"/>
    <n v="0"/>
    <n v="0"/>
    <n v="0"/>
    <n v="0"/>
    <n v="0"/>
    <n v="0"/>
    <n v="0"/>
    <n v="1"/>
    <x v="0"/>
    <n v="301.58504834471501"/>
    <n v="3"/>
    <x v="0"/>
    <n v="2013"/>
    <s v="2013-2016"/>
    <n v="4.6522305896109353E-2"/>
    <n v="25.128046449365669"/>
    <n v="-43.900473989086457"/>
  </r>
  <r>
    <n v="1872"/>
    <n v="1872"/>
    <n v="1872"/>
    <n v="5837"/>
    <n v="4296702445"/>
    <d v="2023-12-31T00:00:00"/>
    <s v="Inversiones CMPC SA"/>
    <x v="2"/>
    <s v="Chile"/>
    <n v="625.86400000000003"/>
    <n v="498.702"/>
    <n v="4028.998"/>
    <n v="0.123778170155458"/>
    <n v="2.9177335824464419E-2"/>
    <n v="17092.101999999999"/>
    <n v="2023"/>
    <n v="0"/>
    <n v="0"/>
    <n v="4296"/>
    <n v="0"/>
    <n v="0"/>
    <n v="0"/>
    <n v="500000000"/>
    <s v="CMPCI"/>
    <n v="0"/>
    <n v="1"/>
    <n v="0"/>
    <n v="0"/>
    <n v="1"/>
    <s v="CMPC"/>
    <n v="0"/>
    <n v="0"/>
    <n v="0"/>
    <n v="5"/>
    <x v="0"/>
    <n v="14340.693727272699"/>
    <n v="5"/>
    <x v="0"/>
    <n v="2023"/>
    <s v="2020-2023"/>
    <n v="3.4062668681992411E-2"/>
    <n v="582.20260750481987"/>
    <n v="43.661392495180174"/>
  </r>
  <r>
    <n v="1873"/>
    <n v="1873"/>
    <n v="1873"/>
    <n v="5838"/>
    <n v="4296702445"/>
    <d v="2022-12-31T00:00:00"/>
    <s v="Inversiones CMPC SA"/>
    <x v="2"/>
    <s v="Chile"/>
    <n v="1423.6579999999999"/>
    <n v="1051.711"/>
    <n v="4279.393"/>
    <n v="0.24576172368370941"/>
    <n v="6.3773945829277895E-2"/>
    <n v="16491.233"/>
    <n v="2022"/>
    <n v="0"/>
    <n v="0"/>
    <n v="4296"/>
    <n v="0"/>
    <n v="0"/>
    <n v="0"/>
    <n v="0"/>
    <n v="0"/>
    <n v="0"/>
    <n v="0"/>
    <n v="0"/>
    <n v="0"/>
    <n v="0"/>
    <n v="0"/>
    <n v="0"/>
    <n v="0"/>
    <n v="0"/>
    <n v="5"/>
    <x v="0"/>
    <n v="14340.693727272699"/>
    <n v="5"/>
    <x v="0"/>
    <n v="2022"/>
    <s v="2020-2023"/>
    <n v="3.4062668681992411E-2"/>
    <n v="561.73540583653971"/>
    <n v="861.92259416346019"/>
  </r>
  <r>
    <n v="1874"/>
    <n v="1874"/>
    <n v="1874"/>
    <n v="5839"/>
    <n v="4296702445"/>
    <d v="2021-12-31T00:00:00"/>
    <s v="Inversiones CMPC SA"/>
    <x v="2"/>
    <s v="Chile"/>
    <n v="912.81100000000004"/>
    <n v="570.74400000000003"/>
    <n v="4693.6629999999996"/>
    <n v="0.1215988450811232"/>
    <n v="3.7327807124751533E-2"/>
    <n v="15290.049000000001"/>
    <n v="2021"/>
    <n v="0"/>
    <n v="0"/>
    <n v="4296"/>
    <n v="0"/>
    <n v="0"/>
    <n v="0"/>
    <n v="500000000"/>
    <s v="CMPCI"/>
    <n v="0"/>
    <n v="1"/>
    <n v="0"/>
    <n v="0"/>
    <n v="1"/>
    <s v="CMPC"/>
    <n v="0"/>
    <n v="0"/>
    <n v="0"/>
    <n v="5"/>
    <x v="0"/>
    <n v="14340.693727272699"/>
    <n v="5"/>
    <x v="0"/>
    <n v="2021"/>
    <s v="2020-2023"/>
    <n v="3.4062668681992411E-2"/>
    <n v="520.81987321842939"/>
    <n v="391.99112678157059"/>
  </r>
  <r>
    <n v="1875"/>
    <n v="1875"/>
    <n v="1875"/>
    <n v="5840"/>
    <n v="4296702445"/>
    <d v="2020-12-31T00:00:00"/>
    <s v="Inversiones CMPC SA"/>
    <x v="2"/>
    <s v="Chile"/>
    <n v="91.061000000000007"/>
    <n v="1.333"/>
    <n v="5156.8810000000003"/>
    <n v="2.5848957926312432E-4"/>
    <n v="9.0123547687425025E-5"/>
    <n v="14790.807000000001"/>
    <n v="2020"/>
    <n v="0"/>
    <n v="0"/>
    <n v="4296"/>
    <s v="Empresas CMPC S.A."/>
    <n v="0"/>
    <n v="0"/>
    <n v="500000000"/>
    <s v="CMPCI"/>
    <n v="0"/>
    <n v="1"/>
    <n v="0"/>
    <n v="0"/>
    <n v="1"/>
    <s v="CMPC"/>
    <n v="0"/>
    <n v="0"/>
    <n v="0"/>
    <n v="5"/>
    <x v="0"/>
    <n v="14340.693727272699"/>
    <n v="5"/>
    <x v="0"/>
    <n v="2020"/>
    <s v="2020-2023"/>
    <n v="3.4062668681992411E-2"/>
    <n v="503.81435838029421"/>
    <n v="-412.75335838029412"/>
  </r>
  <r>
    <n v="1876"/>
    <n v="1876"/>
    <n v="1876"/>
    <n v="5841"/>
    <n v="4296702445"/>
    <d v="2019-12-31T00:00:00"/>
    <s v="Inversiones CMPC SA"/>
    <x v="2"/>
    <s v="Chile"/>
    <n v="271.76"/>
    <n v="122.72"/>
    <n v="5435.1369999999997"/>
    <n v="2.2579007668067981E-2"/>
    <n v="8.0727356640857856E-3"/>
    <n v="15201.786"/>
    <n v="2019"/>
    <n v="0"/>
    <n v="0"/>
    <n v="4296"/>
    <n v="0"/>
    <n v="0"/>
    <n v="0"/>
    <n v="0"/>
    <n v="0"/>
    <n v="0"/>
    <n v="0"/>
    <n v="0"/>
    <n v="0"/>
    <n v="0"/>
    <n v="0"/>
    <n v="0"/>
    <n v="0"/>
    <n v="0"/>
    <n v="5"/>
    <x v="0"/>
    <n v="14340.693727272699"/>
    <n v="5"/>
    <x v="0"/>
    <n v="2019"/>
    <s v="2017-2019"/>
    <n v="3.5092427195981053E-2"/>
    <n v="533.46756845388404"/>
    <n v="-261.70756845388411"/>
  </r>
  <r>
    <n v="1877"/>
    <n v="1877"/>
    <n v="1877"/>
    <n v="5842"/>
    <n v="4296702445"/>
    <d v="2018-12-31T00:00:00"/>
    <s v="Inversiones CMPC SA"/>
    <x v="2"/>
    <s v="Chile"/>
    <n v="906.476"/>
    <n v="523.96900000000005"/>
    <n v="5606.08"/>
    <n v="9.3464417204178335E-2"/>
    <n v="3.449258763758601E-2"/>
    <n v="15190.771000000001"/>
    <n v="2018"/>
    <n v="0"/>
    <n v="0"/>
    <n v="4296"/>
    <n v="0"/>
    <n v="0"/>
    <n v="0"/>
    <n v="0"/>
    <n v="0"/>
    <n v="0"/>
    <n v="0"/>
    <n v="0"/>
    <n v="0"/>
    <n v="0"/>
    <n v="0"/>
    <n v="0"/>
    <n v="0"/>
    <n v="0"/>
    <n v="5"/>
    <x v="0"/>
    <n v="14340.693727272699"/>
    <n v="5"/>
    <x v="0"/>
    <n v="2018"/>
    <s v="2017-2019"/>
    <n v="3.5092427195981053E-2"/>
    <n v="533.0810253683203"/>
    <n v="373.3949746316797"/>
  </r>
  <r>
    <n v="1878"/>
    <n v="1878"/>
    <n v="1878"/>
    <n v="5843"/>
    <n v="4296702445"/>
    <d v="2017-12-31T00:00:00"/>
    <s v="Inversiones CMPC SA"/>
    <x v="2"/>
    <s v="Chile"/>
    <n v="117.465"/>
    <n v="102.839"/>
    <n v="5489.1509999999998"/>
    <n v="1.8734955551414051E-2"/>
    <n v="6.9313066725259376E-3"/>
    <n v="14836.885"/>
    <n v="2017"/>
    <n v="0"/>
    <n v="0"/>
    <n v="4296"/>
    <s v="Empresas CMPC S.A."/>
    <n v="0"/>
    <n v="0"/>
    <n v="500000000"/>
    <s v="CMPCI"/>
    <n v="0"/>
    <n v="1"/>
    <n v="0"/>
    <n v="0"/>
    <n v="1"/>
    <s v="CMPC"/>
    <n v="0"/>
    <n v="0"/>
    <n v="0"/>
    <n v="5"/>
    <x v="0"/>
    <n v="14340.693727272699"/>
    <n v="5"/>
    <x v="0"/>
    <n v="2017"/>
    <s v="2017-2019"/>
    <n v="3.5092427195981053E-2"/>
    <n v="520.6623066776433"/>
    <n v="-403.19730667764333"/>
  </r>
  <r>
    <n v="1879"/>
    <n v="1879"/>
    <n v="1879"/>
    <n v="5844"/>
    <n v="4296702445"/>
    <d v="2016-12-31T00:00:00"/>
    <s v="Inversiones CMPC SA"/>
    <x v="2"/>
    <s v="Chile"/>
    <n v="72.802000000000007"/>
    <n v="73.664000000000001"/>
    <n v="5375.5360000000001"/>
    <n v="1.370356370043843E-2"/>
    <n v="4.9259598095336551E-3"/>
    <n v="14954.243"/>
    <n v="2016"/>
    <n v="0"/>
    <n v="0"/>
    <n v="4296"/>
    <n v="0"/>
    <n v="0"/>
    <n v="0"/>
    <n v="0"/>
    <n v="0"/>
    <n v="0"/>
    <n v="0"/>
    <n v="0"/>
    <n v="0"/>
    <n v="0"/>
    <n v="0"/>
    <n v="0"/>
    <n v="0"/>
    <n v="0"/>
    <n v="5"/>
    <x v="0"/>
    <n v="14340.693727272699"/>
    <n v="5"/>
    <x v="0"/>
    <n v="2016"/>
    <s v="2013-2016"/>
    <n v="3.5494312143141332E-2"/>
    <n v="530.79056890638628"/>
    <n v="-457.98856890638632"/>
  </r>
  <r>
    <n v="1880"/>
    <n v="1880"/>
    <n v="1880"/>
    <n v="5845"/>
    <n v="4296702445"/>
    <d v="2015-12-31T00:00:00"/>
    <s v="Inversiones CMPC SA"/>
    <x v="2"/>
    <s v="Chile"/>
    <n v="478.6"/>
    <n v="84.72"/>
    <n v="4858.4949999999999"/>
    <n v="1.7437498649273079E-2"/>
    <n v="7.4349370606074617E-3"/>
    <n v="11394.851000000001"/>
    <n v="2015"/>
    <n v="0"/>
    <n v="0"/>
    <n v="4296"/>
    <n v="0"/>
    <n v="0"/>
    <n v="0"/>
    <n v="0"/>
    <n v="0"/>
    <n v="0"/>
    <n v="0"/>
    <n v="0"/>
    <n v="0"/>
    <n v="0"/>
    <n v="0"/>
    <n v="0"/>
    <n v="0"/>
    <n v="0"/>
    <n v="5"/>
    <x v="0"/>
    <n v="14340.693727272699"/>
    <n v="5"/>
    <x v="0"/>
    <n v="2015"/>
    <s v="2013-2016"/>
    <n v="3.5494312143141332E-2"/>
    <n v="404.45239821858621"/>
    <n v="74.147601781413869"/>
  </r>
  <r>
    <n v="1881"/>
    <n v="1881"/>
    <n v="1881"/>
    <n v="5846"/>
    <n v="4296702445"/>
    <d v="2014-12-31T00:00:00"/>
    <s v="Inversiones CMPC SA"/>
    <x v="2"/>
    <s v="Chile"/>
    <n v="343.29500000000002"/>
    <n v="142.88800000000001"/>
    <n v="5034.3720000000003"/>
    <n v="2.838248742842206E-2"/>
    <n v="1.212388306029114E-2"/>
    <n v="11785.663"/>
    <n v="2014"/>
    <n v="0"/>
    <n v="0"/>
    <n v="4296"/>
    <s v="Empresas CMPC S.A."/>
    <n v="0"/>
    <n v="0"/>
    <n v="500000000"/>
    <s v="CMPCI"/>
    <n v="0"/>
    <n v="1"/>
    <n v="0"/>
    <n v="0"/>
    <n v="1"/>
    <s v="CMPC"/>
    <n v="0"/>
    <n v="0"/>
    <n v="0"/>
    <n v="5"/>
    <x v="0"/>
    <n v="14340.693727272699"/>
    <n v="5"/>
    <x v="0"/>
    <n v="2014"/>
    <s v="2013-2016"/>
    <n v="3.5494312143141332E-2"/>
    <n v="418.32400133587151"/>
    <n v="-75.029001335871499"/>
  </r>
  <r>
    <n v="1882"/>
    <n v="1882"/>
    <n v="1882"/>
    <n v="5847"/>
    <n v="4296702445"/>
    <d v="2013-12-31T00:00:00"/>
    <s v="Inversiones CMPC SA"/>
    <x v="2"/>
    <s v="Chile"/>
    <n v="340.84699999999998"/>
    <n v="193.78800000000001"/>
    <n v="5194.2120000000004"/>
    <n v="3.7308450251934272E-2"/>
    <n v="1.8078518805575879E-2"/>
    <n v="10719.241"/>
    <n v="2013"/>
    <n v="0"/>
    <n v="0"/>
    <n v="4296"/>
    <n v="0"/>
    <n v="0"/>
    <n v="0"/>
    <n v="0"/>
    <n v="0"/>
    <n v="0"/>
    <n v="0"/>
    <n v="0"/>
    <n v="0"/>
    <n v="0"/>
    <n v="0"/>
    <n v="0"/>
    <n v="0"/>
    <n v="0"/>
    <n v="5"/>
    <x v="0"/>
    <n v="14340.693727272699"/>
    <n v="5"/>
    <x v="0"/>
    <n v="2013"/>
    <s v="2013-2016"/>
    <n v="3.5494312143141332E-2"/>
    <n v="380.47208599155852"/>
    <n v="-39.625085991558478"/>
  </r>
  <r>
    <n v="2118"/>
    <n v="2118"/>
    <n v="2118"/>
    <n v="187"/>
    <s v="MASISA.SN"/>
    <d v="2023-12-31T00:00:00"/>
    <s v="Masisa SA"/>
    <x v="2"/>
    <s v="Chile"/>
    <n v="-28783000"/>
    <n v="-29296000"/>
    <n v="357881000"/>
    <n v="-8.1859612552775921E-2"/>
    <n v="-5.2247669935118438E-2"/>
    <n v="560714000"/>
    <n v="2023"/>
    <n v="0"/>
    <n v="0"/>
    <s v="MASI"/>
    <n v="0"/>
    <n v="0"/>
    <n v="0"/>
    <n v="0"/>
    <n v="0"/>
    <n v="0"/>
    <n v="0"/>
    <n v="0"/>
    <n v="0"/>
    <n v="0"/>
    <n v="0"/>
    <n v="0"/>
    <n v="0"/>
    <n v="0"/>
    <n v="1"/>
    <x v="0"/>
    <n v="1427352090.90909"/>
    <n v="9"/>
    <x v="0"/>
    <n v="2023"/>
    <s v="2020-2023"/>
    <n v="3.4062668681992411E-2"/>
    <n v="19099415.207354691"/>
    <n v="-47882415.207354687"/>
  </r>
  <r>
    <n v="2119"/>
    <n v="2119"/>
    <n v="2119"/>
    <n v="188"/>
    <s v="MASISA.SN"/>
    <d v="2022-12-31T00:00:00"/>
    <s v="Masisa SA"/>
    <x v="2"/>
    <s v="Chile"/>
    <n v="73694000"/>
    <n v="75233000"/>
    <n v="503708000"/>
    <n v="0.1493583584140018"/>
    <n v="0.10625949842658031"/>
    <n v="708012000"/>
    <n v="2022"/>
    <n v="0"/>
    <n v="0"/>
    <s v="MASI"/>
    <n v="0"/>
    <n v="0"/>
    <n v="0"/>
    <n v="0"/>
    <n v="0"/>
    <n v="0"/>
    <n v="0"/>
    <n v="0"/>
    <n v="0"/>
    <n v="0"/>
    <n v="0"/>
    <n v="0"/>
    <n v="0"/>
    <n v="0"/>
    <n v="1"/>
    <x v="0"/>
    <n v="1427352090.90909"/>
    <n v="9"/>
    <x v="0"/>
    <n v="2022"/>
    <s v="2020-2023"/>
    <n v="3.4062668681992411E-2"/>
    <n v="24116778.178874809"/>
    <n v="49577221.821125187"/>
  </r>
  <r>
    <n v="2120"/>
    <n v="2120"/>
    <n v="2120"/>
    <n v="189"/>
    <s v="MASISA.SN"/>
    <d v="2021-12-31T00:00:00"/>
    <s v="Masisa SA"/>
    <x v="2"/>
    <s v="Chile"/>
    <n v="39052000"/>
    <n v="26100000"/>
    <n v="483582000"/>
    <n v="5.3972232217080043E-2"/>
    <n v="3.5936256516028123E-2"/>
    <n v="726286000"/>
    <n v="2021"/>
    <n v="0"/>
    <n v="0"/>
    <s v="MASI"/>
    <n v="0"/>
    <n v="0"/>
    <n v="0"/>
    <n v="0"/>
    <n v="0"/>
    <n v="0"/>
    <n v="0"/>
    <n v="0"/>
    <n v="0"/>
    <n v="0"/>
    <n v="0"/>
    <n v="0"/>
    <n v="0"/>
    <n v="0"/>
    <n v="1"/>
    <x v="0"/>
    <n v="1427352090.90909"/>
    <n v="9"/>
    <x v="0"/>
    <n v="2021"/>
    <s v="2020-2023"/>
    <n v="3.4062668681992411E-2"/>
    <n v="24739239.386369541"/>
    <n v="14312760.613630461"/>
  </r>
  <r>
    <n v="2121"/>
    <n v="2121"/>
    <n v="2121"/>
    <n v="190"/>
    <s v="MASISA.SN"/>
    <d v="2020-12-31T00:00:00"/>
    <s v="Masisa SA"/>
    <x v="2"/>
    <s v="Chile"/>
    <n v="-90816000"/>
    <n v="-160448000"/>
    <n v="462580000"/>
    <n v="-0.34685459812356778"/>
    <n v="-0.22815442172904671"/>
    <n v="703243000"/>
    <n v="2020"/>
    <n v="0"/>
    <n v="0"/>
    <s v="MASI"/>
    <n v="0"/>
    <n v="0"/>
    <n v="0"/>
    <n v="0"/>
    <n v="0"/>
    <n v="0"/>
    <n v="0"/>
    <n v="0"/>
    <n v="0"/>
    <n v="0"/>
    <n v="0"/>
    <n v="0"/>
    <n v="0"/>
    <n v="0"/>
    <n v="1"/>
    <x v="0"/>
    <n v="1427352090.90909"/>
    <n v="9"/>
    <x v="0"/>
    <n v="2020"/>
    <s v="2020-2023"/>
    <n v="3.4062668681992411E-2"/>
    <n v="23954333.311930388"/>
    <n v="-114770333.3119304"/>
  </r>
  <r>
    <n v="2122"/>
    <n v="2122"/>
    <n v="2122"/>
    <n v="191"/>
    <s v="MASISA.SN"/>
    <d v="2019-12-31T00:00:00"/>
    <s v="Masisa SA"/>
    <x v="2"/>
    <s v="Chile"/>
    <n v="-109393000"/>
    <n v="-127065000"/>
    <n v="660207000"/>
    <n v="-0.1924623640767214"/>
    <n v="-0.1039713938540972"/>
    <n v="1222115000"/>
    <n v="2019"/>
    <n v="0"/>
    <n v="0"/>
    <s v="MASI"/>
    <n v="0"/>
    <n v="0"/>
    <n v="0"/>
    <n v="0"/>
    <n v="0"/>
    <n v="0"/>
    <n v="0"/>
    <n v="0"/>
    <n v="0"/>
    <n v="0"/>
    <n v="0"/>
    <n v="0"/>
    <n v="0"/>
    <n v="0"/>
    <n v="1"/>
    <x v="0"/>
    <n v="1427352090.90909"/>
    <n v="9"/>
    <x v="0"/>
    <n v="2019"/>
    <s v="2017-2019"/>
    <n v="3.5092427195981053E-2"/>
    <n v="42886981.662616387"/>
    <n v="-152279981.6626164"/>
  </r>
  <r>
    <n v="2123"/>
    <n v="2123"/>
    <n v="2123"/>
    <n v="192"/>
    <s v="MASISA.SN"/>
    <d v="2018-12-31T00:00:00"/>
    <s v="Masisa SA"/>
    <x v="2"/>
    <s v="Chile"/>
    <n v="-350840000"/>
    <n v="-225371000"/>
    <n v="776470000"/>
    <n v="-0.29025075018996233"/>
    <n v="-0.15163907678002039"/>
    <n v="1486233000"/>
    <n v="2018"/>
    <n v="0"/>
    <n v="0"/>
    <s v="MASI"/>
    <n v="0"/>
    <n v="0"/>
    <n v="0"/>
    <n v="0"/>
    <n v="0"/>
    <n v="0"/>
    <n v="0"/>
    <n v="0"/>
    <n v="0"/>
    <n v="0"/>
    <n v="0"/>
    <n v="0"/>
    <n v="0"/>
    <n v="0"/>
    <n v="1"/>
    <x v="0"/>
    <n v="1427352090.90909"/>
    <n v="9"/>
    <x v="0"/>
    <n v="2018"/>
    <s v="2017-2019"/>
    <n v="3.5092427195981053E-2"/>
    <n v="52155523.348764509"/>
    <n v="-402995523.34876448"/>
  </r>
  <r>
    <n v="2124"/>
    <n v="2124"/>
    <n v="2124"/>
    <n v="193"/>
    <s v="MASISA.SN"/>
    <d v="2017-12-31T00:00:00"/>
    <s v="Masisa SA"/>
    <x v="2"/>
    <s v="Chile"/>
    <n v="-386530000"/>
    <n v="-358654000"/>
    <n v="981754000"/>
    <n v="-0.36531962181972272"/>
    <n v="-0.22181540884023351"/>
    <n v="1616903000"/>
    <n v="2017"/>
    <n v="0"/>
    <n v="0"/>
    <s v="MASI"/>
    <n v="0"/>
    <n v="0"/>
    <n v="0"/>
    <n v="0"/>
    <n v="0"/>
    <n v="0"/>
    <n v="0"/>
    <n v="0"/>
    <n v="0"/>
    <n v="0"/>
    <n v="0"/>
    <n v="0"/>
    <n v="0"/>
    <n v="0"/>
    <n v="1"/>
    <x v="0"/>
    <n v="1427352090.90909"/>
    <n v="9"/>
    <x v="0"/>
    <n v="2017"/>
    <s v="2017-2019"/>
    <n v="3.5092427195981053E-2"/>
    <n v="56741050.810463347"/>
    <n v="-443271050.81046343"/>
  </r>
  <r>
    <n v="2125"/>
    <n v="2125"/>
    <n v="2125"/>
    <n v="194"/>
    <s v="MASISA.SN"/>
    <d v="2016-12-31T00:00:00"/>
    <s v="Masisa SA"/>
    <x v="2"/>
    <s v="Chile"/>
    <n v="21095000"/>
    <n v="-151000"/>
    <n v="946811000"/>
    <n v="-1.5948272675328021E-4"/>
    <n v="-8.435136869871535E-5"/>
    <n v="1790131000"/>
    <n v="2016"/>
    <n v="0"/>
    <n v="0"/>
    <s v="MASI"/>
    <n v="0"/>
    <n v="0"/>
    <n v="0"/>
    <n v="0"/>
    <n v="0"/>
    <n v="0"/>
    <n v="0"/>
    <n v="0"/>
    <n v="0"/>
    <n v="0"/>
    <n v="0"/>
    <n v="0"/>
    <n v="0"/>
    <n v="0"/>
    <n v="1"/>
    <x v="0"/>
    <n v="1427352090.90909"/>
    <n v="9"/>
    <x v="0"/>
    <n v="2016"/>
    <s v="2013-2016"/>
    <n v="3.5494312143141332E-2"/>
    <n v="63539468.491113737"/>
    <n v="-42444468.491113737"/>
  </r>
  <r>
    <n v="2126"/>
    <n v="2126"/>
    <n v="2126"/>
    <n v="195"/>
    <s v="MASISA.SN"/>
    <d v="2015-12-31T00:00:00"/>
    <s v="Masisa SA"/>
    <x v="2"/>
    <s v="Chile"/>
    <n v="53826000"/>
    <n v="45610000"/>
    <n v="932990000"/>
    <n v="4.8885840148340277E-2"/>
    <n v="2.3870045630986159E-2"/>
    <n v="1910763000"/>
    <n v="2015"/>
    <n v="0"/>
    <n v="0"/>
    <s v="MASI"/>
    <n v="0"/>
    <n v="0"/>
    <n v="0"/>
    <n v="0"/>
    <n v="0"/>
    <n v="0"/>
    <n v="0"/>
    <n v="0"/>
    <n v="0"/>
    <n v="0"/>
    <n v="0"/>
    <n v="0"/>
    <n v="0"/>
    <n v="0"/>
    <n v="1"/>
    <x v="0"/>
    <n v="1427352090.90909"/>
    <n v="9"/>
    <x v="0"/>
    <n v="2015"/>
    <s v="2013-2016"/>
    <n v="3.5494312143141332E-2"/>
    <n v="67821218.353565156"/>
    <n v="-13995218.35356516"/>
  </r>
  <r>
    <n v="2127"/>
    <n v="2127"/>
    <n v="2127"/>
    <n v="196"/>
    <s v="MASISA.SN"/>
    <d v="2014-12-31T00:00:00"/>
    <s v="Masisa SA"/>
    <x v="2"/>
    <s v="Chile"/>
    <n v="6489000"/>
    <n v="-178000"/>
    <n v="1233470000"/>
    <n v="-1.443083334008934E-4"/>
    <n v="-7.3388866991336819E-5"/>
    <n v="2425436000"/>
    <n v="2014"/>
    <n v="0"/>
    <n v="0"/>
    <s v="MASI"/>
    <n v="0"/>
    <n v="0"/>
    <n v="0"/>
    <n v="300000000"/>
    <s v="MASIZ"/>
    <n v="0"/>
    <n v="1"/>
    <n v="0"/>
    <n v="0"/>
    <n v="1"/>
    <s v="MASI"/>
    <n v="0"/>
    <n v="0"/>
    <n v="0"/>
    <n v="1"/>
    <x v="0"/>
    <n v="1427352090.90909"/>
    <n v="9"/>
    <x v="0"/>
    <n v="2014"/>
    <s v="2013-2016"/>
    <n v="3.5494312143141332E-2"/>
    <n v="86089182.467212141"/>
    <n v="-79600182.467212141"/>
  </r>
  <r>
    <n v="2128"/>
    <n v="2128"/>
    <n v="2128"/>
    <n v="197"/>
    <s v="MASISA.SN"/>
    <d v="2013-12-31T00:00:00"/>
    <s v="Masisa SA"/>
    <x v="2"/>
    <s v="Chile"/>
    <n v="90133000"/>
    <n v="54912000"/>
    <n v="1308728000"/>
    <n v="4.1958298439400701E-2"/>
    <n v="2.152536399903255E-2"/>
    <n v="2551037000"/>
    <n v="2013"/>
    <n v="0"/>
    <n v="0"/>
    <s v="MASI"/>
    <n v="0"/>
    <n v="0"/>
    <n v="0"/>
    <n v="0"/>
    <n v="0"/>
    <n v="0"/>
    <n v="0"/>
    <n v="0"/>
    <n v="0"/>
    <n v="0"/>
    <n v="0"/>
    <n v="0"/>
    <n v="0"/>
    <n v="0"/>
    <n v="1"/>
    <x v="0"/>
    <n v="1427352090.90909"/>
    <n v="9"/>
    <x v="0"/>
    <n v="2013"/>
    <s v="2013-2016"/>
    <n v="3.5494312143141332E-2"/>
    <n v="90547303.566702828"/>
    <n v="-414303.56670282781"/>
  </r>
  <r>
    <n v="2162"/>
    <n v="2162"/>
    <n v="2162"/>
    <n v="2674"/>
    <s v="MOLYMET.SN"/>
    <d v="2023-12-31T00:00:00"/>
    <s v="Molibdenos y Metales SA"/>
    <x v="2"/>
    <s v="Chile"/>
    <n v="26570000"/>
    <n v="24816000"/>
    <n v="862857000"/>
    <n v="2.8760269662296299E-2"/>
    <n v="1.260347997440299E-2"/>
    <n v="1968980000"/>
    <n v="2023"/>
    <n v="0"/>
    <n v="0"/>
    <s v="MOLY"/>
    <n v="0"/>
    <n v="0"/>
    <n v="0"/>
    <n v="0"/>
    <s v="MOLYM"/>
    <n v="0"/>
    <n v="1"/>
    <n v="0"/>
    <n v="0"/>
    <n v="0"/>
    <s v="MOLY"/>
    <n v="0"/>
    <n v="0"/>
    <n v="0"/>
    <n v="2"/>
    <x v="0"/>
    <n v="1554297181.8181801"/>
    <n v="9"/>
    <x v="0"/>
    <n v="2023"/>
    <s v="2020-2023"/>
    <n v="3.4062668681992411E-2"/>
    <n v="67068713.381469421"/>
    <n v="-40498713.381469421"/>
  </r>
  <r>
    <n v="2163"/>
    <n v="2163"/>
    <n v="2163"/>
    <n v="2675"/>
    <s v="MOLYMET.SN"/>
    <d v="2022-12-31T00:00:00"/>
    <s v="Molibdenos y Metales SA"/>
    <x v="2"/>
    <s v="Chile"/>
    <n v="128329000"/>
    <n v="91106000"/>
    <n v="845915000"/>
    <n v="0.1077011283639609"/>
    <n v="4.6132119562933283E-2"/>
    <n v="1974893000"/>
    <n v="2022"/>
    <n v="0"/>
    <n v="0"/>
    <s v="MOLY"/>
    <n v="0"/>
    <n v="0"/>
    <n v="0"/>
    <n v="0"/>
    <n v="0"/>
    <n v="0"/>
    <n v="0"/>
    <n v="0"/>
    <n v="0"/>
    <n v="0"/>
    <n v="0"/>
    <n v="0"/>
    <n v="0"/>
    <n v="0"/>
    <n v="2"/>
    <x v="0"/>
    <n v="1554297181.8181801"/>
    <n v="9"/>
    <x v="0"/>
    <n v="2022"/>
    <s v="2020-2023"/>
    <n v="3.4062668681992411E-2"/>
    <n v="67270125.941386044"/>
    <n v="61058874.058613963"/>
  </r>
  <r>
    <n v="2164"/>
    <n v="2164"/>
    <n v="2164"/>
    <n v="2676"/>
    <s v="MOLYMET.SN"/>
    <d v="2021-12-31T00:00:00"/>
    <s v="Molibdenos y Metales SA"/>
    <x v="2"/>
    <s v="Chile"/>
    <n v="137953000"/>
    <n v="98481000"/>
    <n v="790401000"/>
    <n v="0.1245962492456361"/>
    <n v="5.6342403635901782E-2"/>
    <n v="1747902000"/>
    <n v="2021"/>
    <n v="0"/>
    <n v="0"/>
    <s v="MOLY"/>
    <n v="0"/>
    <n v="0"/>
    <n v="0"/>
    <n v="0"/>
    <s v="MOLYM"/>
    <n v="0"/>
    <n v="1"/>
    <n v="0"/>
    <n v="0"/>
    <n v="0"/>
    <s v="MOLY"/>
    <n v="0"/>
    <n v="0"/>
    <n v="0"/>
    <n v="2"/>
    <x v="0"/>
    <n v="1554297181.8181801"/>
    <n v="9"/>
    <x v="0"/>
    <n v="2021"/>
    <s v="2020-2023"/>
    <n v="3.4062668681992411E-2"/>
    <n v="59538206.714591898"/>
    <n v="78414793.285408109"/>
  </r>
  <r>
    <n v="2165"/>
    <n v="2165"/>
    <n v="2165"/>
    <n v="2677"/>
    <s v="MOLYMET.SN"/>
    <d v="2020-12-31T00:00:00"/>
    <s v="Molibdenos y Metales SA"/>
    <x v="2"/>
    <s v="Chile"/>
    <n v="63586000"/>
    <n v="47819000"/>
    <n v="754353000"/>
    <n v="6.3390746772399656E-2"/>
    <n v="3.6809811228381867E-2"/>
    <n v="1299083000"/>
    <n v="2020"/>
    <n v="0"/>
    <n v="0"/>
    <s v="MOLY"/>
    <n v="0"/>
    <n v="0"/>
    <n v="0"/>
    <n v="0"/>
    <n v="0"/>
    <n v="0"/>
    <n v="0"/>
    <n v="0"/>
    <n v="0"/>
    <n v="0"/>
    <n v="0"/>
    <n v="0"/>
    <n v="0"/>
    <n v="0"/>
    <n v="2"/>
    <x v="0"/>
    <n v="1554297181.8181801"/>
    <n v="9"/>
    <x v="0"/>
    <n v="2020"/>
    <s v="2020-2023"/>
    <n v="3.4062668681992411E-2"/>
    <n v="44250233.819408737"/>
    <n v="19335766.180591259"/>
  </r>
  <r>
    <n v="2166"/>
    <n v="2166"/>
    <n v="2166"/>
    <n v="2678"/>
    <s v="MOLYMET.SN"/>
    <d v="2019-12-31T00:00:00"/>
    <s v="Molibdenos y Metales SA"/>
    <x v="2"/>
    <s v="Chile"/>
    <n v="83654000"/>
    <n v="63209000"/>
    <n v="733046000"/>
    <n v="8.6227876558906263E-2"/>
    <n v="4.7915262704264688E-2"/>
    <n v="1319183000"/>
    <n v="2019"/>
    <n v="0"/>
    <n v="0"/>
    <s v="MOLY"/>
    <n v="0"/>
    <n v="0"/>
    <n v="0"/>
    <n v="0"/>
    <n v="0"/>
    <n v="0"/>
    <n v="0"/>
    <n v="0"/>
    <n v="0"/>
    <n v="0"/>
    <n v="0"/>
    <n v="0"/>
    <n v="0"/>
    <n v="0"/>
    <n v="2"/>
    <x v="0"/>
    <n v="1554297181.8181801"/>
    <n v="9"/>
    <x v="0"/>
    <n v="2019"/>
    <s v="2017-2019"/>
    <n v="3.5092427195981053E-2"/>
    <n v="46293333.385675877"/>
    <n v="37360666.614324123"/>
  </r>
  <r>
    <n v="2167"/>
    <n v="2167"/>
    <n v="2167"/>
    <n v="2679"/>
    <s v="MOLYMET.SN"/>
    <d v="2018-12-31T00:00:00"/>
    <s v="Molibdenos y Metales SA"/>
    <x v="2"/>
    <s v="Chile"/>
    <n v="132740000"/>
    <n v="97948000"/>
    <n v="696973000"/>
    <n v="0.14053342095030941"/>
    <n v="7.1962119013595574E-2"/>
    <n v="1361105000"/>
    <n v="2018"/>
    <n v="0"/>
    <n v="0"/>
    <s v="MOLY"/>
    <n v="0"/>
    <n v="0"/>
    <n v="0"/>
    <n v="0"/>
    <n v="0"/>
    <n v="0"/>
    <n v="0"/>
    <n v="0"/>
    <n v="0"/>
    <n v="0"/>
    <n v="0"/>
    <n v="0"/>
    <n v="0"/>
    <n v="0"/>
    <n v="2"/>
    <x v="0"/>
    <n v="1554297181.8181801"/>
    <n v="9"/>
    <x v="0"/>
    <n v="2018"/>
    <s v="2017-2019"/>
    <n v="3.5092427195981053E-2"/>
    <n v="47764478.118585803"/>
    <n v="84975521.881414205"/>
  </r>
  <r>
    <n v="2168"/>
    <n v="2168"/>
    <n v="2168"/>
    <n v="2680"/>
    <s v="MOLYMET.SN"/>
    <d v="2017-12-31T00:00:00"/>
    <s v="Molibdenos y Metales SA"/>
    <x v="2"/>
    <s v="Chile"/>
    <n v="106583000"/>
    <n v="78874000"/>
    <n v="633240000"/>
    <n v="0.124556250394795"/>
    <n v="5.4765472353414148E-2"/>
    <n v="1440214000"/>
    <n v="2017"/>
    <n v="0"/>
    <n v="0"/>
    <s v="MOLY"/>
    <n v="0"/>
    <n v="0"/>
    <n v="0"/>
    <n v="0"/>
    <n v="0"/>
    <n v="0"/>
    <n v="0"/>
    <n v="0"/>
    <n v="0"/>
    <n v="0"/>
    <n v="0"/>
    <n v="0"/>
    <n v="0"/>
    <n v="0"/>
    <n v="2"/>
    <x v="0"/>
    <n v="1554297181.8181801"/>
    <n v="9"/>
    <x v="0"/>
    <n v="2017"/>
    <s v="2017-2019"/>
    <n v="3.5092427195981053E-2"/>
    <n v="50540604.941632658"/>
    <n v="56042395.058367342"/>
  </r>
  <r>
    <n v="2169"/>
    <n v="2169"/>
    <n v="2169"/>
    <n v="2681"/>
    <s v="MOLYMET.SN"/>
    <d v="2016-12-31T00:00:00"/>
    <s v="Molibdenos y Metales SA"/>
    <x v="2"/>
    <s v="Chile"/>
    <n v="106873000"/>
    <n v="139656000"/>
    <n v="593355000"/>
    <n v="0.23536668604798139"/>
    <n v="9.4604169856131973E-2"/>
    <n v="1476214000"/>
    <n v="2016"/>
    <n v="0"/>
    <n v="0"/>
    <s v="MOLY"/>
    <n v="0"/>
    <n v="0"/>
    <n v="0"/>
    <n v="0"/>
    <n v="0"/>
    <n v="0"/>
    <n v="0"/>
    <n v="0"/>
    <n v="0"/>
    <n v="0"/>
    <n v="0"/>
    <n v="0"/>
    <n v="0"/>
    <n v="0"/>
    <n v="2"/>
    <x v="0"/>
    <n v="1554297181.8181801"/>
    <n v="9"/>
    <x v="0"/>
    <n v="2016"/>
    <s v="2013-2016"/>
    <n v="3.5494312143141332E-2"/>
    <n v="52397200.506075241"/>
    <n v="54475799.493924759"/>
  </r>
  <r>
    <n v="2170"/>
    <n v="2170"/>
    <n v="2170"/>
    <n v="2682"/>
    <s v="MOLYMET.SN"/>
    <d v="2015-12-31T00:00:00"/>
    <s v="Molibdenos y Metales SA"/>
    <x v="2"/>
    <s v="Chile"/>
    <n v="68847000"/>
    <n v="51024000"/>
    <n v="511147000"/>
    <n v="9.9822555937920013E-2"/>
    <n v="3.8150239747459527E-2"/>
    <n v="1337449000"/>
    <n v="2015"/>
    <n v="0"/>
    <n v="0"/>
    <s v="MOLY"/>
    <n v="0"/>
    <n v="0"/>
    <n v="0"/>
    <n v="0"/>
    <n v="0"/>
    <n v="0"/>
    <n v="0"/>
    <n v="0"/>
    <n v="0"/>
    <n v="0"/>
    <n v="0"/>
    <n v="0"/>
    <n v="0"/>
    <n v="0"/>
    <n v="2"/>
    <x v="0"/>
    <n v="1554297181.8181801"/>
    <n v="9"/>
    <x v="0"/>
    <n v="2015"/>
    <s v="2013-2016"/>
    <n v="3.5494312143141332E-2"/>
    <n v="47471832.281532228"/>
    <n v="21375167.718467768"/>
  </r>
  <r>
    <n v="2171"/>
    <n v="2171"/>
    <n v="2171"/>
    <n v="2683"/>
    <s v="MOLYMET.SN"/>
    <d v="2014-12-31T00:00:00"/>
    <s v="Molibdenos y Metales SA"/>
    <x v="2"/>
    <s v="Chile"/>
    <n v="-460225000"/>
    <n v="-505260000"/>
    <n v="486431000"/>
    <n v="-1.03870847047166"/>
    <n v="-0.35714285714285721"/>
    <n v="1414728000"/>
    <n v="2014"/>
    <n v="0"/>
    <n v="0"/>
    <s v="MOLY"/>
    <n v="0"/>
    <n v="0"/>
    <n v="0"/>
    <n v="0"/>
    <n v="0"/>
    <n v="0"/>
    <n v="0"/>
    <n v="0"/>
    <n v="0"/>
    <n v="0"/>
    <n v="0"/>
    <n v="0"/>
    <n v="0"/>
    <n v="0"/>
    <n v="2"/>
    <x v="0"/>
    <n v="1554297181.8181801"/>
    <n v="9"/>
    <x v="0"/>
    <n v="2014"/>
    <s v="2013-2016"/>
    <n v="3.5494312143141332E-2"/>
    <n v="50214797.229642048"/>
    <n v="-510439797.22964197"/>
  </r>
  <r>
    <n v="2172"/>
    <n v="2172"/>
    <n v="2172"/>
    <n v="2684"/>
    <s v="MOLYMET.SN"/>
    <d v="2013-12-31T00:00:00"/>
    <s v="Molibdenos y Metales SA"/>
    <x v="2"/>
    <s v="Chile"/>
    <n v="41437000"/>
    <n v="30366000"/>
    <n v="919623000"/>
    <n v="3.3020052782498907E-2"/>
    <n v="1.7277774679974829E-2"/>
    <n v="1757518000"/>
    <n v="2013"/>
    <n v="0"/>
    <n v="0"/>
    <s v="MOLY"/>
    <n v="0"/>
    <n v="0"/>
    <n v="0"/>
    <n v="0"/>
    <n v="0"/>
    <n v="0"/>
    <n v="0"/>
    <n v="0"/>
    <n v="0"/>
    <n v="0"/>
    <n v="0"/>
    <n v="0"/>
    <n v="0"/>
    <n v="0"/>
    <n v="2"/>
    <x v="0"/>
    <n v="1554297181.8181801"/>
    <n v="9"/>
    <x v="0"/>
    <n v="2013"/>
    <s v="2013-2016"/>
    <n v="3.5494312143141332E-2"/>
    <n v="62381892.489189468"/>
    <n v="-20944892.489189468"/>
  </r>
  <r>
    <n v="2534"/>
    <n v="2534"/>
    <n v="2534"/>
    <n v="1770"/>
    <s v="SMU.SN"/>
    <d v="2023-12-31T00:00:00"/>
    <s v="SMU SA"/>
    <x v="3"/>
    <s v="Chile"/>
    <n v="113795156.601331"/>
    <n v="99109907.106679693"/>
    <n v="923310059.27911103"/>
    <n v="0.1073419552951273"/>
    <n v="3.6605651453813698E-2"/>
    <n v="2707502890.1405902"/>
    <n v="2023"/>
    <n v="0"/>
    <n v="0"/>
    <s v="SMU."/>
    <n v="0"/>
    <n v="0"/>
    <n v="0"/>
    <n v="0"/>
    <n v="0"/>
    <n v="0"/>
    <n v="0"/>
    <n v="0"/>
    <n v="0"/>
    <n v="0"/>
    <n v="0"/>
    <n v="0"/>
    <n v="0"/>
    <n v="0"/>
    <n v="1"/>
    <x v="0"/>
    <n v="2847716520.1246099"/>
    <n v="9"/>
    <x v="0"/>
    <n v="2023"/>
    <s v="2020-2023"/>
    <n v="2.639308490294508E-2"/>
    <n v="71459353.654449791"/>
    <n v="42335802.946881197"/>
  </r>
  <r>
    <n v="2535"/>
    <n v="2535"/>
    <n v="2535"/>
    <n v="1771"/>
    <s v="SMU.SN"/>
    <d v="2022-12-31T00:00:00"/>
    <s v="SMU SA"/>
    <x v="3"/>
    <s v="Chile"/>
    <n v="104448769.757018"/>
    <n v="155136105.213494"/>
    <n v="923471135.88110399"/>
    <n v="0.1679923705092041"/>
    <n v="5.6481285481799932E-2"/>
    <n v="2746681558.1505098"/>
    <n v="2022"/>
    <n v="0"/>
    <n v="0"/>
    <s v="SMU."/>
    <n v="0"/>
    <n v="0"/>
    <n v="0"/>
    <n v="0"/>
    <n v="0"/>
    <n v="0"/>
    <n v="0"/>
    <n v="0"/>
    <n v="0"/>
    <n v="0"/>
    <n v="0"/>
    <n v="0"/>
    <n v="0"/>
    <n v="0"/>
    <n v="1"/>
    <x v="0"/>
    <n v="2847716520.1246099"/>
    <n v="9"/>
    <x v="0"/>
    <n v="2022"/>
    <s v="2020-2023"/>
    <n v="2.639308490294508E-2"/>
    <n v="72493399.565619886"/>
    <n v="31955370.19139811"/>
  </r>
  <r>
    <n v="2536"/>
    <n v="2536"/>
    <n v="2536"/>
    <n v="1772"/>
    <s v="SMU.SN"/>
    <d v="2021-12-31T00:00:00"/>
    <s v="SMU SA"/>
    <x v="3"/>
    <s v="Chile"/>
    <n v="66345291.9750911"/>
    <n v="82088201.151451096"/>
    <n v="884456320.05639803"/>
    <n v="9.28120465533184E-2"/>
    <n v="3.1464007657399963E-2"/>
    <n v="2608955669.1340599"/>
    <n v="2021"/>
    <n v="0"/>
    <n v="0"/>
    <s v="SMU."/>
    <n v="0"/>
    <n v="0"/>
    <n v="0"/>
    <n v="0"/>
    <n v="0"/>
    <n v="0"/>
    <n v="0"/>
    <n v="0"/>
    <n v="0"/>
    <n v="0"/>
    <n v="0"/>
    <n v="0"/>
    <n v="0"/>
    <n v="0"/>
    <n v="1"/>
    <x v="0"/>
    <n v="2847716520.1246099"/>
    <n v="9"/>
    <x v="0"/>
    <n v="2021"/>
    <s v="2020-2023"/>
    <n v="2.639308490294508E-2"/>
    <n v="68858388.483475134"/>
    <n v="-2513096.508384034"/>
  </r>
  <r>
    <n v="2537"/>
    <n v="2537"/>
    <n v="2537"/>
    <n v="1773"/>
    <s v="SMU.SN"/>
    <d v="2020-12-31T00:00:00"/>
    <s v="SMU SA"/>
    <x v="3"/>
    <s v="Chile"/>
    <n v="39681725.959844999"/>
    <n v="36379232.123987302"/>
    <n v="1020812063.4026099"/>
    <n v="3.5637541353818497E-2"/>
    <n v="1.183352736279435E-2"/>
    <n v="3074250898.2035899"/>
    <n v="2020"/>
    <n v="0"/>
    <n v="0"/>
    <s v="SMU."/>
    <n v="0"/>
    <n v="0"/>
    <n v="0"/>
    <n v="0"/>
    <n v="0"/>
    <n v="0"/>
    <n v="0"/>
    <n v="0"/>
    <n v="0"/>
    <n v="0"/>
    <n v="0"/>
    <n v="0"/>
    <n v="0"/>
    <n v="0"/>
    <n v="1"/>
    <x v="0"/>
    <n v="2847716520.1246099"/>
    <n v="9"/>
    <x v="0"/>
    <n v="2020"/>
    <s v="2020-2023"/>
    <n v="2.639308490294508E-2"/>
    <n v="81138964.969242528"/>
    <n v="-41457239.009397529"/>
  </r>
  <r>
    <n v="2538"/>
    <n v="2538"/>
    <n v="2538"/>
    <n v="1774"/>
    <s v="SMU.SN"/>
    <d v="2019-12-31T00:00:00"/>
    <s v="SMU SA"/>
    <x v="3"/>
    <s v="Chile"/>
    <n v="52959769.793745801"/>
    <n v="46019546.240851603"/>
    <n v="959967506.32069194"/>
    <n v="4.7938649941634652E-2"/>
    <n v="1.6644124489331651E-2"/>
    <n v="2764912403.1936102"/>
    <n v="2019"/>
    <n v="0"/>
    <n v="0"/>
    <s v="SMU."/>
    <n v="0"/>
    <n v="0"/>
    <n v="0"/>
    <n v="0"/>
    <n v="0"/>
    <n v="0"/>
    <n v="0"/>
    <n v="0"/>
    <n v="0"/>
    <n v="0"/>
    <n v="0"/>
    <n v="0"/>
    <n v="0"/>
    <n v="0"/>
    <n v="1"/>
    <x v="0"/>
    <n v="2847716520.1246099"/>
    <n v="9"/>
    <x v="0"/>
    <n v="2019"/>
    <s v="2017-2019"/>
    <n v="2.6740380212775649E-2"/>
    <n v="73934808.916416392"/>
    <n v="-20975039.122670591"/>
  </r>
  <r>
    <n v="2539"/>
    <n v="2539"/>
    <n v="2539"/>
    <n v="1775"/>
    <s v="SMU.SN"/>
    <d v="2018-12-31T00:00:00"/>
    <s v="SMU SA"/>
    <x v="3"/>
    <s v="Chile"/>
    <n v="24357690.697842199"/>
    <n v="47936277.693584502"/>
    <n v="1003506232.2292"/>
    <n v="4.7768789225253058E-2"/>
    <n v="1.8325245669934102E-2"/>
    <n v="2615860030.3095899"/>
    <n v="2018"/>
    <n v="0"/>
    <n v="0"/>
    <s v="SMU."/>
    <n v="0"/>
    <n v="0"/>
    <n v="0"/>
    <n v="0"/>
    <n v="0"/>
    <n v="0"/>
    <n v="0"/>
    <n v="0"/>
    <n v="0"/>
    <n v="0"/>
    <n v="0"/>
    <n v="0"/>
    <n v="0"/>
    <n v="0"/>
    <n v="1"/>
    <x v="0"/>
    <n v="2847716520.1246099"/>
    <n v="9"/>
    <x v="0"/>
    <n v="2018"/>
    <s v="2017-2019"/>
    <n v="2.6740380212775649E-2"/>
    <n v="69949091.793881282"/>
    <n v="-45591401.096039087"/>
  </r>
  <r>
    <n v="2540"/>
    <n v="2540"/>
    <n v="2540"/>
    <n v="1776"/>
    <s v="SMU.SN"/>
    <d v="2017-12-31T00:00:00"/>
    <s v="SMU SA"/>
    <x v="3"/>
    <s v="Chile"/>
    <n v="46176824.208899401"/>
    <n v="42786532.172781304"/>
    <n v="964410287.15529203"/>
    <n v="4.4365487119582853E-2"/>
    <n v="1.382983410399344E-2"/>
    <n v="3093784918.24616"/>
    <n v="2017"/>
    <n v="0"/>
    <n v="0"/>
    <s v="SMU."/>
    <n v="0"/>
    <n v="0"/>
    <n v="0"/>
    <n v="0"/>
    <n v="0"/>
    <n v="0"/>
    <n v="0"/>
    <n v="0"/>
    <n v="0"/>
    <n v="0"/>
    <n v="0"/>
    <n v="0"/>
    <n v="0"/>
    <n v="0"/>
    <n v="1"/>
    <x v="0"/>
    <n v="2847716520.1246099"/>
    <n v="9"/>
    <x v="0"/>
    <n v="2017"/>
    <s v="2017-2019"/>
    <n v="2.6740380212775649E-2"/>
    <n v="82728985.010453358"/>
    <n v="-36552160.801553957"/>
  </r>
  <r>
    <n v="2541"/>
    <n v="2541"/>
    <n v="2541"/>
    <n v="1777"/>
    <s v="SMU.SN"/>
    <d v="2016-12-31T00:00:00"/>
    <s v="SMU SA"/>
    <x v="3"/>
    <s v="Chile"/>
    <n v="3529614.9651122801"/>
    <n v="16328716.9986105"/>
    <n v="522954193.24956298"/>
    <n v="3.1223990952527168E-2"/>
    <n v="6.0488503085464416E-3"/>
    <n v="2699474472.9489498"/>
    <n v="2016"/>
    <n v="0"/>
    <n v="0"/>
    <s v="SMU."/>
    <n v="0"/>
    <n v="0"/>
    <n v="0"/>
    <n v="0"/>
    <n v="0"/>
    <n v="0"/>
    <n v="0"/>
    <n v="0"/>
    <n v="0"/>
    <n v="0"/>
    <n v="0"/>
    <n v="0"/>
    <n v="0"/>
    <n v="0"/>
    <n v="1"/>
    <x v="0"/>
    <n v="2847716520.1246099"/>
    <n v="9"/>
    <x v="0"/>
    <n v="2016"/>
    <s v="2013-2016"/>
    <n v="3.8046758435701003E-2"/>
    <n v="102706253.17563"/>
    <n v="-99176638.21051769"/>
  </r>
  <r>
    <n v="2542"/>
    <n v="2542"/>
    <n v="2542"/>
    <n v="1778"/>
    <s v="SMU.SN"/>
    <d v="2015-12-31T00:00:00"/>
    <s v="SMU SA"/>
    <x v="3"/>
    <s v="Chile"/>
    <n v="-96135706.717524901"/>
    <n v="-52604940.312213004"/>
    <n v="478874583.59821999"/>
    <n v="-0.1098511846608026"/>
    <n v="-2.0638559747476321E-2"/>
    <n v="2548866827.7177401"/>
    <n v="2015"/>
    <n v="0"/>
    <n v="0"/>
    <s v="SMU."/>
    <n v="0"/>
    <n v="0"/>
    <n v="0"/>
    <n v="0"/>
    <n v="0"/>
    <n v="0"/>
    <n v="0"/>
    <n v="0"/>
    <n v="0"/>
    <n v="0"/>
    <n v="0"/>
    <n v="0"/>
    <n v="0"/>
    <n v="0"/>
    <n v="1"/>
    <x v="0"/>
    <n v="2847716520.1246099"/>
    <n v="9"/>
    <x v="0"/>
    <n v="2015"/>
    <s v="2013-2016"/>
    <n v="3.8046758435701003E-2"/>
    <n v="96976120.478948385"/>
    <n v="-193111827.1964733"/>
  </r>
  <r>
    <n v="2543"/>
    <n v="2543"/>
    <n v="2543"/>
    <n v="1779"/>
    <s v="SMU.SN"/>
    <d v="2014-12-31T00:00:00"/>
    <s v="SMU SA"/>
    <x v="3"/>
    <s v="Chile"/>
    <n v="-293979754.28759903"/>
    <n v="-165364162.26912901"/>
    <n v="619045761.87335098"/>
    <n v="-0.2671275250616455"/>
    <n v="-5.450843361506396E-2"/>
    <n v="3033735356.2005301"/>
    <n v="2014"/>
    <n v="0"/>
    <n v="0"/>
    <s v="SMU."/>
    <n v="0"/>
    <n v="0"/>
    <n v="0"/>
    <n v="0"/>
    <n v="0"/>
    <n v="0"/>
    <n v="0"/>
    <n v="0"/>
    <n v="0"/>
    <n v="0"/>
    <n v="0"/>
    <n v="0"/>
    <n v="0"/>
    <n v="0"/>
    <n v="1"/>
    <x v="0"/>
    <n v="2847716520.1246099"/>
    <n v="9"/>
    <x v="0"/>
    <n v="2014"/>
    <s v="2013-2016"/>
    <n v="3.8046758435701003E-2"/>
    <n v="115423796.2552069"/>
    <n v="-409403550.54280591"/>
  </r>
  <r>
    <n v="2544"/>
    <n v="2544"/>
    <n v="2544"/>
    <n v="1780"/>
    <s v="SMU.SN"/>
    <d v="2013-12-31T00:00:00"/>
    <s v="SMU SA"/>
    <x v="3"/>
    <s v="Chile"/>
    <n v="-1064479550.73291"/>
    <n v="-915499636.39824903"/>
    <n v="781750266.51437294"/>
    <n v="-1.1710896377179769"/>
    <n v="-0.26684286672926388"/>
    <n v="3430856697.1254501"/>
    <n v="2013"/>
    <n v="0"/>
    <n v="0"/>
    <s v="SMU."/>
    <n v="0"/>
    <n v="0"/>
    <n v="0"/>
    <n v="300000000"/>
    <s v="SMU"/>
    <n v="0"/>
    <n v="1"/>
    <n v="0"/>
    <n v="0"/>
    <n v="1"/>
    <s v="SMU"/>
    <n v="0"/>
    <n v="0"/>
    <n v="0"/>
    <n v="1"/>
    <x v="0"/>
    <n v="2847716520.1246099"/>
    <n v="9"/>
    <x v="0"/>
    <n v="2013"/>
    <s v="2013-2016"/>
    <n v="3.8046758435701003E-2"/>
    <n v="130532975.98303901"/>
    <n v="-1195012526.7159491"/>
  </r>
  <r>
    <n v="2850"/>
    <n v="2850"/>
    <n v="2850"/>
    <n v="1275"/>
    <s v="SQMA.SN"/>
    <d v="2023-12-31T00:00:00"/>
    <s v="Sociedad Quimica y Minera de Chile SA"/>
    <x v="2"/>
    <s v="Chile"/>
    <n v="2807018000"/>
    <n v="2019743000"/>
    <n v="5530675000"/>
    <n v="0.36518924001139103"/>
    <n v="0.1725454633990485"/>
    <n v="11705570000"/>
    <n v="2023"/>
    <n v="0"/>
    <n v="0"/>
    <s v="SQMA"/>
    <n v="0"/>
    <n v="0"/>
    <n v="0"/>
    <n v="750000000"/>
    <s v="SQM"/>
    <n v="0"/>
    <n v="1"/>
    <n v="0"/>
    <n v="0"/>
    <n v="1"/>
    <s v="SQM"/>
    <n v="0"/>
    <n v="0"/>
    <n v="0"/>
    <n v="6"/>
    <x v="0"/>
    <n v="5993537909.0909004"/>
    <n v="10"/>
    <x v="0"/>
    <n v="2023"/>
    <s v="2020-2023"/>
    <n v="3.4062668681992411E-2"/>
    <n v="398722952.64386988"/>
    <n v="2408295047.3561301"/>
  </r>
  <r>
    <n v="2851"/>
    <n v="2851"/>
    <n v="2851"/>
    <n v="1276"/>
    <s v="SQMA.SN"/>
    <d v="2022-12-31T00:00:00"/>
    <s v="Sociedad Quimica y Minera de Chile SA"/>
    <x v="2"/>
    <s v="Chile"/>
    <n v="5486496000"/>
    <n v="3914284000"/>
    <n v="4896632000"/>
    <n v="0.799382922792646"/>
    <n v="0.36179383111406388"/>
    <n v="10819101000"/>
    <n v="2022"/>
    <n v="0"/>
    <n v="0"/>
    <s v="SQMA"/>
    <n v="0"/>
    <n v="0"/>
    <n v="0"/>
    <n v="0"/>
    <n v="0"/>
    <n v="0"/>
    <n v="0"/>
    <n v="0"/>
    <n v="0"/>
    <n v="0"/>
    <n v="0"/>
    <n v="0"/>
    <n v="0"/>
    <n v="0"/>
    <n v="6"/>
    <x v="0"/>
    <n v="5993537909.0909004"/>
    <n v="10"/>
    <x v="0"/>
    <n v="2022"/>
    <s v="2020-2023"/>
    <n v="3.4062668681992411E-2"/>
    <n v="368527452.80001283"/>
    <n v="5117968547.1999874"/>
  </r>
  <r>
    <n v="2852"/>
    <n v="2852"/>
    <n v="2852"/>
    <n v="1277"/>
    <s v="SQMA.SN"/>
    <d v="2021-12-31T00:00:00"/>
    <s v="Sociedad Quimica y Minera de Chile SA"/>
    <x v="2"/>
    <s v="Chile"/>
    <n v="841221000"/>
    <n v="592205000"/>
    <n v="3181520000"/>
    <n v="0.1861390153134351"/>
    <n v="8.4068715444564596E-2"/>
    <n v="7044297000"/>
    <n v="2021"/>
    <n v="0"/>
    <n v="0"/>
    <s v="SQMA"/>
    <n v="0"/>
    <n v="0"/>
    <n v="0"/>
    <n v="700000000"/>
    <s v="SQM"/>
    <n v="0"/>
    <n v="1"/>
    <n v="0"/>
    <n v="0"/>
    <n v="1"/>
    <s v="SQM"/>
    <n v="0"/>
    <n v="0"/>
    <n v="0"/>
    <n v="6"/>
    <x v="0"/>
    <n v="5993537909.0909004"/>
    <n v="10"/>
    <x v="0"/>
    <n v="2021"/>
    <s v="2020-2023"/>
    <n v="3.4062668681992411E-2"/>
    <n v="239947554.8085531"/>
    <n v="601273445.1914469"/>
  </r>
  <r>
    <n v="2853"/>
    <n v="2853"/>
    <n v="2853"/>
    <n v="1278"/>
    <s v="SQMA.SN"/>
    <d v="2020-12-31T00:00:00"/>
    <s v="Sociedad Quimica y Minera de Chile SA"/>
    <x v="2"/>
    <s v="Chile"/>
    <n v="238538000"/>
    <n v="168359000"/>
    <n v="2123085000"/>
    <n v="7.9299227303664246E-2"/>
    <n v="3.494039489355838E-2"/>
    <n v="4818463000"/>
    <n v="2020"/>
    <n v="0"/>
    <n v="0"/>
    <s v="SQMA"/>
    <n v="0"/>
    <n v="0"/>
    <n v="0"/>
    <n v="400000000"/>
    <s v="SQM"/>
    <n v="0"/>
    <n v="1"/>
    <n v="0"/>
    <n v="0"/>
    <n v="1"/>
    <s v="SQM"/>
    <n v="0"/>
    <n v="0"/>
    <n v="0"/>
    <n v="6"/>
    <x v="0"/>
    <n v="5993537909.0909004"/>
    <n v="10"/>
    <x v="0"/>
    <n v="2020"/>
    <s v="2020-2023"/>
    <n v="3.4062668681992411E-2"/>
    <n v="164129708.72543919"/>
    <n v="74408291.274560809"/>
  </r>
  <r>
    <n v="2854"/>
    <n v="2854"/>
    <n v="2854"/>
    <n v="1279"/>
    <s v="SQMA.SN"/>
    <d v="2019-12-31T00:00:00"/>
    <s v="Sociedad Quimica y Minera de Chile SA"/>
    <x v="2"/>
    <s v="Chile"/>
    <n v="390622000"/>
    <n v="280603000"/>
    <n v="2086267000"/>
    <n v="0.1345000424202655"/>
    <n v="5.990477249772691E-2"/>
    <n v="4684151000"/>
    <n v="2019"/>
    <n v="0"/>
    <n v="0"/>
    <s v="SQMA"/>
    <n v="0"/>
    <n v="0"/>
    <n v="0"/>
    <n v="450000000"/>
    <s v="SQM"/>
    <n v="0"/>
    <n v="1"/>
    <n v="0"/>
    <n v="0"/>
    <n v="1"/>
    <s v="SQM"/>
    <n v="0"/>
    <n v="0"/>
    <n v="0"/>
    <n v="6"/>
    <x v="0"/>
    <n v="5993537909.0909004"/>
    <n v="10"/>
    <x v="0"/>
    <n v="2019"/>
    <s v="2017-2019"/>
    <n v="3.5092427195981053E-2"/>
    <n v="164378227.94248179"/>
    <n v="226243772.05751821"/>
  </r>
  <r>
    <n v="2855"/>
    <n v="2855"/>
    <n v="2855"/>
    <n v="1280"/>
    <s v="SQMA.SN"/>
    <d v="2018-12-31T00:00:00"/>
    <s v="Sociedad Quimica y Minera de Chile SA"/>
    <x v="2"/>
    <s v="Chile"/>
    <n v="621038000"/>
    <n v="442063000"/>
    <n v="2085491000"/>
    <n v="0.2119707061790245"/>
    <n v="0.1035738669298286"/>
    <n v="4268094000"/>
    <n v="2018"/>
    <n v="0"/>
    <n v="0"/>
    <s v="SQMA"/>
    <n v="0"/>
    <n v="0"/>
    <n v="0"/>
    <n v="0"/>
    <n v="0"/>
    <n v="0"/>
    <n v="0"/>
    <n v="0"/>
    <n v="0"/>
    <n v="0"/>
    <n v="0"/>
    <n v="0"/>
    <n v="0"/>
    <n v="0"/>
    <n v="6"/>
    <x v="0"/>
    <n v="5993537909.0909004"/>
    <n v="10"/>
    <x v="0"/>
    <n v="2018"/>
    <s v="2017-2019"/>
    <n v="3.5092427195981053E-2"/>
    <n v="149777777.96060359"/>
    <n v="471260222.03939641"/>
  </r>
  <r>
    <n v="2856"/>
    <n v="2856"/>
    <n v="2856"/>
    <n v="1281"/>
    <s v="SQMA.SN"/>
    <d v="2017-12-31T00:00:00"/>
    <s v="Sociedad Quimica y Minera de Chile SA"/>
    <x v="2"/>
    <s v="Chile"/>
    <n v="594590000"/>
    <n v="428417000"/>
    <n v="2187821000"/>
    <n v="0.1958190363836895"/>
    <n v="9.9719149506684451E-2"/>
    <n v="4296236000"/>
    <n v="2017"/>
    <n v="0"/>
    <n v="0"/>
    <s v="SQMA"/>
    <n v="0"/>
    <n v="0"/>
    <n v="0"/>
    <n v="0"/>
    <n v="0"/>
    <n v="0"/>
    <n v="0"/>
    <n v="0"/>
    <n v="0"/>
    <n v="0"/>
    <n v="0"/>
    <n v="0"/>
    <n v="0"/>
    <n v="0"/>
    <n v="6"/>
    <x v="0"/>
    <n v="5993537909.0909004"/>
    <n v="10"/>
    <x v="0"/>
    <n v="2017"/>
    <s v="2017-2019"/>
    <n v="3.5092427195981053E-2"/>
    <n v="150765349.0467529"/>
    <n v="443824650.95324707"/>
  </r>
  <r>
    <n v="2857"/>
    <n v="2857"/>
    <n v="2857"/>
    <n v="1282"/>
    <s v="SQMA.SN"/>
    <d v="2016-12-31T00:00:00"/>
    <s v="Sociedad Quimica y Minera de Chile SA"/>
    <x v="2"/>
    <s v="Chile"/>
    <n v="414889000"/>
    <n v="281924000"/>
    <n v="2246074000"/>
    <n v="0.1255185715163436"/>
    <n v="6.6838628917159401E-2"/>
    <n v="4217980000"/>
    <n v="2016"/>
    <n v="0"/>
    <n v="0"/>
    <s v="SQMA"/>
    <n v="0"/>
    <n v="0"/>
    <n v="0"/>
    <n v="0"/>
    <n v="0"/>
    <n v="0"/>
    <n v="0"/>
    <n v="0"/>
    <n v="0"/>
    <n v="0"/>
    <n v="0"/>
    <n v="0"/>
    <n v="0"/>
    <n v="0"/>
    <n v="6"/>
    <x v="0"/>
    <n v="5993537909.0909004"/>
    <n v="10"/>
    <x v="0"/>
    <n v="2016"/>
    <s v="2013-2016"/>
    <n v="3.5494312143141332E-2"/>
    <n v="149714298.7335273"/>
    <n v="265174701.2664727"/>
  </r>
  <r>
    <n v="2858"/>
    <n v="2858"/>
    <n v="2858"/>
    <n v="1283"/>
    <s v="SQMA.SN"/>
    <d v="2015-12-31T00:00:00"/>
    <s v="Sociedad Quimica y Minera de Chile SA"/>
    <x v="2"/>
    <s v="Chile"/>
    <n v="301098000"/>
    <n v="217332000"/>
    <n v="2339785000"/>
    <n v="9.2885457424506948E-2"/>
    <n v="4.6800848105479999E-2"/>
    <n v="4643762000"/>
    <n v="2015"/>
    <n v="0"/>
    <n v="0"/>
    <s v="SQMA"/>
    <n v="0"/>
    <n v="0"/>
    <n v="0"/>
    <n v="0"/>
    <n v="0"/>
    <n v="0"/>
    <n v="0"/>
    <n v="0"/>
    <n v="0"/>
    <n v="0"/>
    <n v="0"/>
    <n v="0"/>
    <n v="0"/>
    <n v="0"/>
    <n v="6"/>
    <x v="0"/>
    <n v="5993537909.0909004"/>
    <n v="10"/>
    <x v="0"/>
    <n v="2015"/>
    <s v="2013-2016"/>
    <n v="3.5494312143141332E-2"/>
    <n v="164827137.94645831"/>
    <n v="136270862.05354169"/>
  </r>
  <r>
    <n v="2859"/>
    <n v="2859"/>
    <n v="2859"/>
    <n v="1284"/>
    <s v="SQMA.SN"/>
    <d v="2014-12-31T00:00:00"/>
    <s v="Sociedad Quimica y Minera de Chile SA"/>
    <x v="2"/>
    <s v="Chile"/>
    <n v="412152000"/>
    <n v="303770000"/>
    <n v="2239836000"/>
    <n v="0.13562153657678511"/>
    <n v="6.5135607157905118E-2"/>
    <n v="4663655000"/>
    <n v="2014"/>
    <n v="0"/>
    <n v="0"/>
    <s v="SQMA"/>
    <n v="0"/>
    <n v="0"/>
    <n v="0"/>
    <n v="250000000"/>
    <s v="SQM"/>
    <n v="0"/>
    <n v="1"/>
    <n v="0"/>
    <n v="0"/>
    <n v="1"/>
    <s v="SQM"/>
    <n v="0"/>
    <n v="0"/>
    <n v="0"/>
    <n v="6"/>
    <x v="0"/>
    <n v="5993537909.0909004"/>
    <n v="10"/>
    <x v="0"/>
    <n v="2014"/>
    <s v="2013-2016"/>
    <n v="3.5494312143141332E-2"/>
    <n v="165533226.29792181"/>
    <n v="246618773.70207819"/>
  </r>
  <r>
    <n v="2860"/>
    <n v="2860"/>
    <n v="2860"/>
    <n v="1285"/>
    <s v="SQMA.SN"/>
    <d v="2013-12-31T00:00:00"/>
    <s v="Sociedad Quimica y Minera de Chile SA"/>
    <x v="2"/>
    <s v="Chile"/>
    <n v="613109000"/>
    <n v="474570000"/>
    <n v="2376620000"/>
    <n v="0.19968274271865091"/>
    <n v="9.9540482355092955E-2"/>
    <n v="4767608000"/>
    <n v="2013"/>
    <n v="0"/>
    <n v="0"/>
    <s v="SQMA"/>
    <n v="0"/>
    <n v="0"/>
    <n v="0"/>
    <n v="300000000"/>
    <s v="SQM"/>
    <n v="0"/>
    <n v="1"/>
    <n v="0"/>
    <n v="0"/>
    <n v="1"/>
    <s v="SQM"/>
    <n v="0"/>
    <n v="0"/>
    <n v="0"/>
    <n v="6"/>
    <x v="0"/>
    <n v="5993537909.0909004"/>
    <n v="10"/>
    <x v="0"/>
    <n v="2013"/>
    <s v="2013-2016"/>
    <n v="3.5494312143141332E-2"/>
    <n v="169222966.5281378"/>
    <n v="443886033.4718622"/>
  </r>
  <r>
    <n v="2993"/>
    <n v="2993"/>
    <n v="2993"/>
    <n v="6457"/>
    <n v="4297020810"/>
    <d v="2023-12-31T00:00:00"/>
    <s v="Tanner Servicios Financieros SA"/>
    <x v="3"/>
    <s v="Chile"/>
    <n v="-6.14474437302687"/>
    <n v="1.87440664107747"/>
    <n v="411.63992368666101"/>
    <n v="4.5535103210840701E-3"/>
    <n v="9.5496651983938976E-4"/>
    <n v="1962.79827840741"/>
    <n v="2023"/>
    <n v="0"/>
    <n v="0"/>
    <n v="4297"/>
    <n v="0"/>
    <n v="0"/>
    <n v="0"/>
    <n v="0"/>
    <s v="INBACT"/>
    <n v="0"/>
    <n v="1"/>
    <n v="0"/>
    <n v="0"/>
    <n v="0"/>
    <s v="INBA"/>
    <n v="0"/>
    <n v="0"/>
    <n v="0"/>
    <n v="9"/>
    <x v="0"/>
    <n v="1807.7485060333599"/>
    <n v="4"/>
    <x v="0"/>
    <n v="2023"/>
    <s v="2020-2023"/>
    <n v="2.639308490294508E-2"/>
    <n v="51.804301609361197"/>
    <n v="-57.949045982388071"/>
  </r>
  <r>
    <n v="2994"/>
    <n v="2994"/>
    <n v="2994"/>
    <n v="6458"/>
    <n v="4297020810"/>
    <d v="2022-12-31T00:00:00"/>
    <s v="Tanner Servicios Financieros SA"/>
    <x v="3"/>
    <s v="Chile"/>
    <n v="26.914151922623301"/>
    <n v="33.729094125973099"/>
    <n v="431.30984312337802"/>
    <n v="7.8201540409372827E-2"/>
    <n v="1.591036543973293E-2"/>
    <n v="2119.94465204058"/>
    <n v="2022"/>
    <n v="0"/>
    <n v="0"/>
    <n v="4297"/>
    <n v="0"/>
    <n v="0"/>
    <n v="0"/>
    <n v="0"/>
    <s v="INBACT"/>
    <n v="0"/>
    <n v="1"/>
    <n v="0"/>
    <n v="0"/>
    <n v="0"/>
    <s v="INBA"/>
    <n v="0"/>
    <n v="0"/>
    <n v="0"/>
    <n v="9"/>
    <x v="0"/>
    <n v="1807.7485060333599"/>
    <n v="4"/>
    <x v="0"/>
    <n v="2022"/>
    <s v="2020-2023"/>
    <n v="2.639308490294508E-2"/>
    <n v="55.951879190851393"/>
    <n v="-29.037727268228089"/>
  </r>
  <r>
    <n v="2995"/>
    <n v="2995"/>
    <n v="2995"/>
    <n v="6459"/>
    <n v="4297020810"/>
    <d v="2021-12-31T00:00:00"/>
    <s v="Tanner Servicios Financieros SA"/>
    <x v="3"/>
    <s v="Chile"/>
    <n v="45.416740688520697"/>
    <n v="42.464954764422501"/>
    <n v="406.75851368816802"/>
    <n v="0.10439844117676481"/>
    <n v="2.0153780014943161E-2"/>
    <n v="2107.0466549171701"/>
    <n v="2021"/>
    <n v="0"/>
    <n v="0"/>
    <n v="4297"/>
    <n v="0"/>
    <n v="146713615"/>
    <n v="0"/>
    <n v="30601056"/>
    <s v="INBACT"/>
    <n v="0"/>
    <n v="1"/>
    <n v="1"/>
    <n v="0"/>
    <n v="1"/>
    <s v="INBA"/>
    <n v="0"/>
    <n v="0"/>
    <n v="0"/>
    <n v="9"/>
    <x v="0"/>
    <n v="1807.7485060333599"/>
    <n v="4"/>
    <x v="0"/>
    <n v="2021"/>
    <s v="2020-2023"/>
    <n v="2.639308490294508E-2"/>
    <n v="55.611461257695296"/>
    <n v="-10.194720569174599"/>
  </r>
  <r>
    <n v="2996"/>
    <n v="2996"/>
    <n v="2996"/>
    <n v="6460"/>
    <n v="4297020810"/>
    <d v="2020-12-31T00:00:00"/>
    <s v="Tanner Servicios Financieros SA"/>
    <x v="3"/>
    <s v="Chile"/>
    <n v="46.319432194434697"/>
    <n v="38.761451215216603"/>
    <n v="446.37949137020098"/>
    <n v="8.6835197325564689E-2"/>
    <n v="1.8768596538187299E-2"/>
    <n v="2065.2290722085199"/>
    <n v="2020"/>
    <n v="0"/>
    <n v="0"/>
    <n v="4297"/>
    <n v="0"/>
    <n v="234741784"/>
    <n v="0"/>
    <n v="0"/>
    <s v="INBACT"/>
    <n v="0"/>
    <n v="1"/>
    <n v="1"/>
    <n v="0"/>
    <n v="0"/>
    <s v="INBA"/>
    <n v="0"/>
    <n v="0"/>
    <n v="0"/>
    <n v="9"/>
    <x v="0"/>
    <n v="1807.7485060333599"/>
    <n v="4"/>
    <x v="0"/>
    <n v="2020"/>
    <s v="2020-2023"/>
    <n v="2.639308490294508E-2"/>
    <n v="54.507766246829974"/>
    <n v="-8.1883340523952697"/>
  </r>
  <r>
    <n v="2997"/>
    <n v="2997"/>
    <n v="2997"/>
    <n v="6461"/>
    <n v="4297020810"/>
    <d v="2019-12-31T00:00:00"/>
    <s v="Tanner Servicios Financieros SA"/>
    <x v="3"/>
    <s v="Chile"/>
    <n v="51.955174983366597"/>
    <n v="43.376396540252799"/>
    <n v="405.06536926147697"/>
    <n v="0.1070849295740524"/>
    <n v="2.023841028334309E-2"/>
    <n v="2143.2709354624099"/>
    <n v="2019"/>
    <n v="0"/>
    <n v="0"/>
    <n v="4297"/>
    <n v="0"/>
    <n v="146713615"/>
    <n v="0"/>
    <n v="0"/>
    <s v="INBACT"/>
    <n v="0"/>
    <n v="1"/>
    <n v="1"/>
    <n v="0"/>
    <n v="0"/>
    <s v="INBA"/>
    <n v="0"/>
    <n v="0"/>
    <n v="0"/>
    <n v="9"/>
    <x v="0"/>
    <n v="1807.7485060333599"/>
    <n v="4"/>
    <x v="0"/>
    <n v="2019"/>
    <s v="2017-2019"/>
    <n v="2.6740380212775649E-2"/>
    <n v="57.311879713256189"/>
    <n v="-5.3567047298895929"/>
  </r>
  <r>
    <n v="2998"/>
    <n v="2998"/>
    <n v="2998"/>
    <n v="6462"/>
    <n v="4297020810"/>
    <d v="2018-12-31T00:00:00"/>
    <s v="Tanner Servicios Financieros SA"/>
    <x v="3"/>
    <s v="Chile"/>
    <n v="48.940008659883098"/>
    <n v="42.921020422890997"/>
    <n v="405.71359890308202"/>
    <n v="0.1057914266096466"/>
    <n v="2.0831430067446258E-2"/>
    <n v="2060.3972115176398"/>
    <n v="2018"/>
    <n v="0"/>
    <n v="0"/>
    <n v="4297"/>
    <n v="0"/>
    <n v="0"/>
    <n v="0"/>
    <n v="0"/>
    <s v="INBACT"/>
    <n v="0"/>
    <n v="1"/>
    <n v="0"/>
    <n v="0"/>
    <n v="0"/>
    <s v="INBA"/>
    <n v="0"/>
    <n v="0"/>
    <n v="0"/>
    <n v="9"/>
    <x v="0"/>
    <n v="1807.7485060333599"/>
    <n v="4"/>
    <x v="0"/>
    <n v="2018"/>
    <s v="2017-2019"/>
    <n v="2.6740380212775649E-2"/>
    <n v="55.095804825324429"/>
    <n v="-6.1557961654413296"/>
  </r>
  <r>
    <n v="2999"/>
    <n v="2999"/>
    <n v="2999"/>
    <n v="6463"/>
    <n v="4297020810"/>
    <d v="2017-12-31T00:00:00"/>
    <s v="Tanner Servicios Financieros SA"/>
    <x v="3"/>
    <s v="Chile"/>
    <n v="45.391037175628398"/>
    <n v="41.192792646221399"/>
    <n v="436.07856991783899"/>
    <n v="9.4461859600169021E-2"/>
    <n v="2.186813428354788E-2"/>
    <n v="1883.69030993248"/>
    <n v="2017"/>
    <n v="0"/>
    <n v="0"/>
    <n v="4297"/>
    <n v="0"/>
    <n v="117370892"/>
    <n v="0"/>
    <n v="0"/>
    <s v="INBACT"/>
    <n v="0"/>
    <n v="1"/>
    <n v="1"/>
    <n v="0"/>
    <n v="0"/>
    <s v="INBA"/>
    <n v="0"/>
    <n v="0"/>
    <n v="0"/>
    <n v="9"/>
    <x v="0"/>
    <n v="1807.7485060333599"/>
    <n v="4"/>
    <x v="0"/>
    <n v="2017"/>
    <s v="2017-2019"/>
    <n v="2.6740380212775649E-2"/>
    <n v="50.370595090715717"/>
    <n v="-4.9795579150873266"/>
  </r>
  <r>
    <n v="3000"/>
    <n v="3000"/>
    <n v="3000"/>
    <n v="6464"/>
    <n v="4297020810"/>
    <d v="2016-12-31T00:00:00"/>
    <s v="Tanner Servicios Financieros SA"/>
    <x v="3"/>
    <s v="Chile"/>
    <n v="37.225695886685898"/>
    <n v="33.3933123160364"/>
    <n v="373.47135173093898"/>
    <n v="8.9413316874955476E-2"/>
    <n v="2.2326191055503809E-2"/>
    <n v="1495.70127000254"/>
    <n v="2016"/>
    <n v="0"/>
    <n v="0"/>
    <n v="4297"/>
    <n v="0"/>
    <n v="176056338"/>
    <n v="0"/>
    <n v="0"/>
    <s v="INBACT"/>
    <n v="0"/>
    <n v="1"/>
    <n v="1"/>
    <n v="0"/>
    <n v="0"/>
    <s v="INBA"/>
    <n v="0"/>
    <n v="0"/>
    <n v="0"/>
    <n v="9"/>
    <x v="0"/>
    <n v="1807.7485060333599"/>
    <n v="4"/>
    <x v="0"/>
    <n v="2016"/>
    <s v="2013-2016"/>
    <n v="3.8046758435701003E-2"/>
    <n v="56.90658491175784"/>
    <n v="-19.680889025071941"/>
  </r>
  <r>
    <n v="3001"/>
    <n v="3001"/>
    <n v="3001"/>
    <n v="6465"/>
    <n v="4297020810"/>
    <d v="2015-12-31T00:00:00"/>
    <s v="Tanner Servicios Financieros SA"/>
    <x v="3"/>
    <s v="Chile"/>
    <n v="29.142938475665801"/>
    <n v="28.697450024722801"/>
    <n v="334.771701631702"/>
    <n v="8.5722448716093122E-2"/>
    <n v="2.123719822007241E-2"/>
    <n v="1351.28229850957"/>
    <n v="2015"/>
    <n v="0"/>
    <n v="0"/>
    <n v="4297"/>
    <n v="0"/>
    <n v="0"/>
    <n v="0"/>
    <n v="0"/>
    <n v="0"/>
    <n v="0"/>
    <n v="0"/>
    <n v="0"/>
    <n v="0"/>
    <n v="0"/>
    <n v="0"/>
    <n v="0"/>
    <n v="0"/>
    <n v="0"/>
    <n v="9"/>
    <x v="0"/>
    <n v="1807.7485060333599"/>
    <n v="4"/>
    <x v="0"/>
    <n v="2015"/>
    <s v="2013-2016"/>
    <n v="3.8046758435701003E-2"/>
    <n v="51.411911189832423"/>
    <n v="-22.268972714166619"/>
  </r>
  <r>
    <n v="3002"/>
    <n v="3002"/>
    <n v="3002"/>
    <n v="6466"/>
    <n v="4297020810"/>
    <d v="2014-12-31T00:00:00"/>
    <s v="Tanner Servicios Financieros SA"/>
    <x v="3"/>
    <s v="Chile"/>
    <n v="46.386022427440601"/>
    <n v="43.019523416886599"/>
    <n v="367.03225758575201"/>
    <n v="0.1172091077221889"/>
    <n v="3.245951702545604E-2"/>
    <n v="1325.3285125329801"/>
    <n v="2014"/>
    <n v="0"/>
    <n v="0"/>
    <n v="4297"/>
    <n v="0"/>
    <n v="0"/>
    <n v="0"/>
    <n v="0"/>
    <n v="0"/>
    <n v="0"/>
    <n v="0"/>
    <n v="0"/>
    <n v="0"/>
    <n v="0"/>
    <n v="0"/>
    <n v="0"/>
    <n v="0"/>
    <n v="0"/>
    <n v="9"/>
    <x v="0"/>
    <n v="1807.7485060333599"/>
    <n v="4"/>
    <x v="0"/>
    <n v="2014"/>
    <s v="2013-2016"/>
    <n v="3.8046758435701003E-2"/>
    <n v="50.424453764289233"/>
    <n v="-4.0384313368486247"/>
  </r>
  <r>
    <n v="3003"/>
    <n v="3003"/>
    <n v="3003"/>
    <n v="6467"/>
    <n v="4297020810"/>
    <d v="2013-12-31T00:00:00"/>
    <s v="Tanner Servicios Financieros SA"/>
    <x v="3"/>
    <s v="Chile"/>
    <n v="56.3647382448125"/>
    <n v="46.740633923472302"/>
    <n v="387.48332000761502"/>
    <n v="0.1206261831413898"/>
    <n v="3.4103699900625263E-2"/>
    <n v="1370.54437083571"/>
    <n v="2013"/>
    <n v="0"/>
    <n v="0"/>
    <n v="4297"/>
    <n v="0"/>
    <n v="0"/>
    <n v="0"/>
    <n v="250000000"/>
    <s v="INBACT"/>
    <n v="0"/>
    <n v="1"/>
    <n v="0"/>
    <n v="0"/>
    <n v="1"/>
    <s v="INBA"/>
    <n v="0"/>
    <n v="0"/>
    <n v="0"/>
    <n v="9"/>
    <x v="0"/>
    <n v="1807.7485060333599"/>
    <n v="4"/>
    <x v="0"/>
    <n v="2013"/>
    <s v="2013-2016"/>
    <n v="3.8046758435701003E-2"/>
    <n v="52.144770602596083"/>
    <n v="4.219967642216425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14E1F7-0719-4806-84FD-63D8F347E656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13" firstHeaderRow="1" firstDataRow="3" firstDataCol="1"/>
  <pivotFields count="43">
    <pivotField showAll="0"/>
    <pivotField showAll="0"/>
    <pivotField showAll="0"/>
    <pivotField showAll="0"/>
    <pivotField showAll="0"/>
    <pivotField numFmtId="164" showAll="0"/>
    <pivotField showAll="0"/>
    <pivotField axis="axisRow" showAll="0">
      <items count="8">
        <item x="6"/>
        <item x="5"/>
        <item x="2"/>
        <item x="1"/>
        <item x="3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2">
        <item x="0"/>
        <item t="default"/>
      </items>
    </pivotField>
    <pivotField showAll="0"/>
    <pivotField showAll="0"/>
    <pivotField axis="axisCol" showAll="0">
      <items count="2">
        <item x="0"/>
        <item t="default"/>
      </items>
    </pivotField>
    <pivotField showAll="0"/>
    <pivotField showAll="0"/>
    <pivotField dataField="1" showAll="0"/>
    <pivotField dataField="1" showAll="0"/>
    <pivotField showAll="0"/>
  </pivotFields>
  <rowFields count="1">
    <field x="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2">
    <field x="-2"/>
    <field x="37"/>
  </colFields>
  <colItems count="6">
    <i>
      <x/>
      <x/>
    </i>
    <i i="1">
      <x v="1"/>
      <x/>
    </i>
    <i i="2">
      <x v="2"/>
      <x/>
    </i>
    <i t="grand">
      <x/>
    </i>
    <i t="grand" i="1">
      <x/>
    </i>
    <i t="grand" i="2">
      <x/>
    </i>
  </colItems>
  <dataFields count="3">
    <dataField name="Sum of Net_Income_Before_Taxes" fld="9" baseField="0" baseItem="0"/>
    <dataField name="Average of avg_median_roa" fld="40" subtotal="average" baseField="7" baseItem="0"/>
    <dataField name="Sum of tipical_profits" fld="41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E2B58-3EAC-4B5D-9273-A8C7E772A268}">
  <dimension ref="A3:G35"/>
  <sheetViews>
    <sheetView tabSelected="1" topLeftCell="A13" workbookViewId="0">
      <selection activeCell="D33" sqref="D33"/>
    </sheetView>
  </sheetViews>
  <sheetFormatPr defaultRowHeight="15" x14ac:dyDescent="0.25"/>
  <cols>
    <col min="1" max="1" width="41.7109375" bestFit="1" customWidth="1"/>
    <col min="2" max="2" width="32.140625" bestFit="1" customWidth="1"/>
    <col min="3" max="3" width="26.140625" bestFit="1" customWidth="1"/>
    <col min="4" max="4" width="20.140625" bestFit="1" customWidth="1"/>
    <col min="5" max="5" width="37.140625" bestFit="1" customWidth="1"/>
    <col min="6" max="6" width="31.140625" bestFit="1" customWidth="1"/>
    <col min="7" max="7" width="25.140625" bestFit="1" customWidth="1"/>
  </cols>
  <sheetData>
    <row r="3" spans="1:7" x14ac:dyDescent="0.25">
      <c r="B3" s="3" t="s">
        <v>157</v>
      </c>
    </row>
    <row r="4" spans="1:7" x14ac:dyDescent="0.25">
      <c r="B4" t="s">
        <v>155</v>
      </c>
      <c r="C4" t="s">
        <v>159</v>
      </c>
      <c r="D4" t="s">
        <v>158</v>
      </c>
      <c r="E4" t="s">
        <v>160</v>
      </c>
      <c r="F4" t="s">
        <v>161</v>
      </c>
      <c r="G4" t="s">
        <v>162</v>
      </c>
    </row>
    <row r="5" spans="1:7" x14ac:dyDescent="0.25">
      <c r="A5" s="3" t="s">
        <v>154</v>
      </c>
      <c r="B5">
        <v>1</v>
      </c>
      <c r="C5">
        <v>1</v>
      </c>
      <c r="D5">
        <v>1</v>
      </c>
    </row>
    <row r="6" spans="1:7" x14ac:dyDescent="0.25">
      <c r="A6" s="4" t="s">
        <v>151</v>
      </c>
      <c r="B6" s="5">
        <v>-597051503.85239482</v>
      </c>
      <c r="C6" s="5">
        <v>-1.3431795799390548E-2</v>
      </c>
      <c r="D6" s="5">
        <v>-134256499.91903245</v>
      </c>
      <c r="E6" s="5">
        <v>-597051503.85239482</v>
      </c>
      <c r="F6" s="5">
        <v>-1.3431795799390548E-2</v>
      </c>
      <c r="G6" s="5">
        <v>-134256499.91903245</v>
      </c>
    </row>
    <row r="7" spans="1:7" x14ac:dyDescent="0.25">
      <c r="A7" s="4" t="s">
        <v>135</v>
      </c>
      <c r="B7" s="5">
        <v>1810287073.487654</v>
      </c>
      <c r="C7" s="5">
        <v>2.7941203789139914E-2</v>
      </c>
      <c r="D7" s="5">
        <v>1863927792.98347</v>
      </c>
      <c r="E7" s="5">
        <v>1810287073.487654</v>
      </c>
      <c r="F7" s="5">
        <v>2.7941203789139914E-2</v>
      </c>
      <c r="G7" s="5">
        <v>1863927792.98347</v>
      </c>
    </row>
    <row r="8" spans="1:7" x14ac:dyDescent="0.25">
      <c r="A8" s="4" t="s">
        <v>100</v>
      </c>
      <c r="B8" s="5">
        <v>19263497631.331104</v>
      </c>
      <c r="C8" s="5">
        <v>3.4864109535316212E-2</v>
      </c>
      <c r="D8" s="5">
        <v>6599102700.1811733</v>
      </c>
      <c r="E8" s="5">
        <v>19263497631.331104</v>
      </c>
      <c r="F8" s="5">
        <v>3.4864109535316212E-2</v>
      </c>
      <c r="G8" s="5">
        <v>6599102700.1811733</v>
      </c>
    </row>
    <row r="9" spans="1:7" x14ac:dyDescent="0.25">
      <c r="A9" s="4" t="s">
        <v>93</v>
      </c>
      <c r="B9" s="5">
        <v>3937424477.9240003</v>
      </c>
      <c r="C9" s="5">
        <v>-3.6823216802563644E-3</v>
      </c>
      <c r="D9" s="5">
        <v>-237464447.57178205</v>
      </c>
      <c r="E9" s="5">
        <v>3937424477.9240003</v>
      </c>
      <c r="F9" s="5">
        <v>-3.6823216802563644E-3</v>
      </c>
      <c r="G9" s="5">
        <v>-237464447.57178205</v>
      </c>
    </row>
    <row r="10" spans="1:7" x14ac:dyDescent="0.25">
      <c r="A10" s="4" t="s">
        <v>45</v>
      </c>
      <c r="B10" s="5">
        <v>14981829246.041426</v>
      </c>
      <c r="C10" s="5">
        <v>3.0725501272082845E-2</v>
      </c>
      <c r="D10" s="5">
        <v>13987972225.413107</v>
      </c>
      <c r="E10" s="5">
        <v>14981829246.041426</v>
      </c>
      <c r="F10" s="5">
        <v>3.0725501272082845E-2</v>
      </c>
      <c r="G10" s="5">
        <v>13987972225.413107</v>
      </c>
    </row>
    <row r="11" spans="1:7" x14ac:dyDescent="0.25">
      <c r="A11" s="4" t="s">
        <v>140</v>
      </c>
      <c r="B11" s="5">
        <v>10432678349.614901</v>
      </c>
      <c r="C11" s="5">
        <v>4.5177367480881407E-2</v>
      </c>
      <c r="D11" s="5">
        <v>2144676445.7393949</v>
      </c>
      <c r="E11" s="5">
        <v>10432678349.614901</v>
      </c>
      <c r="F11" s="5">
        <v>4.5177367480881407E-2</v>
      </c>
      <c r="G11" s="5">
        <v>2144676445.7393949</v>
      </c>
    </row>
    <row r="12" spans="1:7" x14ac:dyDescent="0.25">
      <c r="A12" s="4" t="s">
        <v>65</v>
      </c>
      <c r="B12" s="5">
        <v>40828048615.00338</v>
      </c>
      <c r="C12" s="5">
        <v>4.5351069365005527E-2</v>
      </c>
      <c r="D12" s="5">
        <v>28010969624.940742</v>
      </c>
      <c r="E12" s="5">
        <v>40828048615.00338</v>
      </c>
      <c r="F12" s="5">
        <v>4.5351069365005527E-2</v>
      </c>
      <c r="G12" s="5">
        <v>28010969624.940742</v>
      </c>
    </row>
    <row r="13" spans="1:7" x14ac:dyDescent="0.25">
      <c r="A13" s="4" t="s">
        <v>156</v>
      </c>
      <c r="B13" s="5">
        <v>90656713889.550064</v>
      </c>
      <c r="C13" s="5">
        <v>3.3174309829388751E-2</v>
      </c>
      <c r="D13" s="5">
        <v>52234927841.767075</v>
      </c>
      <c r="E13" s="5">
        <v>90656713889.550064</v>
      </c>
      <c r="F13" s="5">
        <v>3.3174309829388723E-2</v>
      </c>
      <c r="G13" s="5">
        <v>52234927841.767075</v>
      </c>
    </row>
    <row r="14" spans="1:7" x14ac:dyDescent="0.25">
      <c r="D14" s="5"/>
    </row>
    <row r="15" spans="1:7" x14ac:dyDescent="0.25">
      <c r="D15" s="5"/>
    </row>
    <row r="16" spans="1:7" x14ac:dyDescent="0.25">
      <c r="B16" t="s">
        <v>157</v>
      </c>
      <c r="D16" s="5"/>
    </row>
    <row r="17" spans="1:7" x14ac:dyDescent="0.25">
      <c r="B17" t="s">
        <v>155</v>
      </c>
      <c r="C17" t="s">
        <v>159</v>
      </c>
      <c r="D17" s="5" t="s">
        <v>158</v>
      </c>
      <c r="E17" t="s">
        <v>160</v>
      </c>
      <c r="F17" t="s">
        <v>161</v>
      </c>
      <c r="G17" t="s">
        <v>162</v>
      </c>
    </row>
    <row r="18" spans="1:7" x14ac:dyDescent="0.25">
      <c r="A18" t="s">
        <v>154</v>
      </c>
      <c r="B18">
        <v>1</v>
      </c>
      <c r="C18">
        <v>1</v>
      </c>
      <c r="D18" s="5">
        <v>1</v>
      </c>
    </row>
    <row r="19" spans="1:7" x14ac:dyDescent="0.25">
      <c r="A19" t="s">
        <v>151</v>
      </c>
      <c r="B19">
        <v>-597051503.85239482</v>
      </c>
      <c r="C19">
        <v>-1.3431795799390548E-2</v>
      </c>
      <c r="D19" s="5">
        <v>-134256499.91903245</v>
      </c>
      <c r="E19">
        <v>-597051503.85239482</v>
      </c>
      <c r="F19">
        <v>-1.3431795799390548E-2</v>
      </c>
      <c r="G19">
        <v>-134256499.91903245</v>
      </c>
    </row>
    <row r="20" spans="1:7" x14ac:dyDescent="0.25">
      <c r="A20" t="s">
        <v>135</v>
      </c>
      <c r="B20">
        <v>1810287073.487654</v>
      </c>
      <c r="C20">
        <v>2.7941203789139914E-2</v>
      </c>
      <c r="D20" s="5">
        <v>1863927792.98347</v>
      </c>
      <c r="E20">
        <v>1810287073.487654</v>
      </c>
      <c r="F20">
        <v>2.7941203789139914E-2</v>
      </c>
      <c r="G20">
        <v>1863927792.98347</v>
      </c>
    </row>
    <row r="21" spans="1:7" x14ac:dyDescent="0.25">
      <c r="A21" t="s">
        <v>100</v>
      </c>
      <c r="B21">
        <v>19263497631.331104</v>
      </c>
      <c r="C21">
        <v>3.4864109535316212E-2</v>
      </c>
      <c r="D21" s="6">
        <v>6599102700.1811733</v>
      </c>
      <c r="E21">
        <v>19263497631.331104</v>
      </c>
      <c r="F21">
        <v>3.4864109535316212E-2</v>
      </c>
      <c r="G21">
        <v>6599102700.1811733</v>
      </c>
    </row>
    <row r="22" spans="1:7" x14ac:dyDescent="0.25">
      <c r="A22" t="s">
        <v>93</v>
      </c>
      <c r="B22">
        <v>3937424477.9240003</v>
      </c>
      <c r="C22">
        <v>-3.6823216802563644E-3</v>
      </c>
      <c r="D22">
        <v>-237464447.57178205</v>
      </c>
      <c r="E22">
        <v>3937424477.9240003</v>
      </c>
      <c r="F22">
        <v>-3.6823216802563644E-3</v>
      </c>
      <c r="G22">
        <v>-237464447.57178205</v>
      </c>
    </row>
    <row r="23" spans="1:7" x14ac:dyDescent="0.25">
      <c r="A23" t="s">
        <v>45</v>
      </c>
      <c r="B23">
        <v>14981829246.041426</v>
      </c>
      <c r="C23">
        <v>3.0725501272082845E-2</v>
      </c>
      <c r="D23">
        <v>13987972225.413107</v>
      </c>
      <c r="E23">
        <v>14981829246.041426</v>
      </c>
      <c r="F23">
        <v>3.0725501272082845E-2</v>
      </c>
      <c r="G23">
        <v>13987972225.413107</v>
      </c>
    </row>
    <row r="24" spans="1:7" x14ac:dyDescent="0.25">
      <c r="A24" t="s">
        <v>140</v>
      </c>
      <c r="B24">
        <v>10432678349.614901</v>
      </c>
      <c r="C24">
        <v>4.5177367480881407E-2</v>
      </c>
      <c r="D24">
        <v>2144676445.7393949</v>
      </c>
      <c r="E24">
        <v>10432678349.614901</v>
      </c>
      <c r="F24">
        <v>4.5177367480881407E-2</v>
      </c>
      <c r="G24">
        <v>2144676445.7393949</v>
      </c>
    </row>
    <row r="25" spans="1:7" x14ac:dyDescent="0.25">
      <c r="A25" t="s">
        <v>65</v>
      </c>
      <c r="B25">
        <v>40828048615.00338</v>
      </c>
      <c r="C25">
        <v>4.5351069365005527E-2</v>
      </c>
      <c r="D25">
        <v>28010969624.940742</v>
      </c>
      <c r="E25">
        <v>40828048615.00338</v>
      </c>
      <c r="F25">
        <v>4.5351069365005527E-2</v>
      </c>
      <c r="G25">
        <v>28010969624.940742</v>
      </c>
    </row>
    <row r="26" spans="1:7" x14ac:dyDescent="0.25">
      <c r="A26" t="s">
        <v>156</v>
      </c>
      <c r="B26">
        <v>90656713889.550064</v>
      </c>
      <c r="C26">
        <v>3.3174309829388751E-2</v>
      </c>
      <c r="D26">
        <v>52234927841.767075</v>
      </c>
      <c r="E26">
        <v>90656713889.550064</v>
      </c>
      <c r="F26">
        <v>3.3174309829388723E-2</v>
      </c>
      <c r="G26">
        <v>52234927841.767075</v>
      </c>
    </row>
    <row r="29" spans="1:7" x14ac:dyDescent="0.25">
      <c r="A29" t="s">
        <v>151</v>
      </c>
    </row>
    <row r="30" spans="1:7" x14ac:dyDescent="0.25">
      <c r="A30" t="s">
        <v>135</v>
      </c>
    </row>
    <row r="31" spans="1:7" x14ac:dyDescent="0.25">
      <c r="A31" t="s">
        <v>100</v>
      </c>
    </row>
    <row r="32" spans="1:7" x14ac:dyDescent="0.25">
      <c r="A32" t="s">
        <v>93</v>
      </c>
    </row>
    <row r="33" spans="1:1" x14ac:dyDescent="0.25">
      <c r="A33" t="s">
        <v>45</v>
      </c>
    </row>
    <row r="34" spans="1:1" x14ac:dyDescent="0.25">
      <c r="A34" t="s">
        <v>140</v>
      </c>
    </row>
    <row r="35" spans="1:1" x14ac:dyDescent="0.25">
      <c r="A35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97"/>
  <sheetViews>
    <sheetView workbookViewId="0">
      <selection activeCell="G1" sqref="G1:AR1048576"/>
    </sheetView>
  </sheetViews>
  <sheetFormatPr defaultRowHeight="15" x14ac:dyDescent="0.25"/>
  <cols>
    <col min="7" max="7" width="26" customWidth="1"/>
    <col min="8" max="8" width="18.28515625" customWidth="1"/>
    <col min="9" max="9" width="21.140625" customWidth="1"/>
  </cols>
  <sheetData>
    <row r="1" spans="1:4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</row>
    <row r="2" spans="1:44" x14ac:dyDescent="0.25">
      <c r="A2" s="1">
        <v>186</v>
      </c>
      <c r="B2">
        <v>11</v>
      </c>
      <c r="C2">
        <v>11</v>
      </c>
      <c r="D2">
        <v>11</v>
      </c>
      <c r="E2">
        <v>3430</v>
      </c>
      <c r="F2">
        <v>4295863328</v>
      </c>
      <c r="G2" s="2">
        <v>45291</v>
      </c>
      <c r="H2" t="s">
        <v>64</v>
      </c>
      <c r="I2" t="s">
        <v>65</v>
      </c>
      <c r="J2" t="s">
        <v>46</v>
      </c>
      <c r="K2">
        <v>-118.401</v>
      </c>
      <c r="L2">
        <v>-136.369</v>
      </c>
      <c r="M2">
        <v>681.73900000000003</v>
      </c>
      <c r="N2">
        <v>-0.20003109694472521</v>
      </c>
      <c r="O2">
        <v>-2.5476589650342121E-2</v>
      </c>
      <c r="P2">
        <v>5352.7179999999998</v>
      </c>
      <c r="Q2">
        <v>2023</v>
      </c>
      <c r="R2">
        <v>0</v>
      </c>
      <c r="S2">
        <v>0</v>
      </c>
      <c r="T2">
        <v>4295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3</v>
      </c>
      <c r="AJ2">
        <v>1</v>
      </c>
      <c r="AK2">
        <v>6945.27545454545</v>
      </c>
      <c r="AL2">
        <v>5</v>
      </c>
      <c r="AM2">
        <v>1</v>
      </c>
      <c r="AN2">
        <v>2023</v>
      </c>
      <c r="AO2" t="s">
        <v>48</v>
      </c>
      <c r="AP2">
        <v>3.5835499651311283E-2</v>
      </c>
      <c r="AQ2">
        <v>191.81732402256759</v>
      </c>
      <c r="AR2">
        <v>-310.21832402256757</v>
      </c>
    </row>
    <row r="3" spans="1:44" x14ac:dyDescent="0.25">
      <c r="A3" s="1">
        <v>187</v>
      </c>
      <c r="B3">
        <v>12</v>
      </c>
      <c r="C3">
        <v>12</v>
      </c>
      <c r="D3">
        <v>12</v>
      </c>
      <c r="E3">
        <v>3431</v>
      </c>
      <c r="F3">
        <v>4295863328</v>
      </c>
      <c r="G3" s="2">
        <v>44926</v>
      </c>
      <c r="H3" t="s">
        <v>64</v>
      </c>
      <c r="I3" t="s">
        <v>65</v>
      </c>
      <c r="J3" t="s">
        <v>46</v>
      </c>
      <c r="K3">
        <v>457.86500000000001</v>
      </c>
      <c r="L3">
        <v>312.35000000000002</v>
      </c>
      <c r="M3">
        <v>1037.627</v>
      </c>
      <c r="N3">
        <v>0.30102339279914653</v>
      </c>
      <c r="O3">
        <v>5.7703036729687088E-2</v>
      </c>
      <c r="P3">
        <v>5413.06</v>
      </c>
      <c r="Q3">
        <v>2022</v>
      </c>
      <c r="R3">
        <v>0</v>
      </c>
      <c r="S3">
        <v>0</v>
      </c>
      <c r="T3">
        <v>4295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3</v>
      </c>
      <c r="AJ3">
        <v>1</v>
      </c>
      <c r="AK3">
        <v>6945.27545454545</v>
      </c>
      <c r="AL3">
        <v>5</v>
      </c>
      <c r="AM3">
        <v>1</v>
      </c>
      <c r="AN3">
        <v>2022</v>
      </c>
      <c r="AO3" t="s">
        <v>48</v>
      </c>
      <c r="AP3">
        <v>3.5835499651311283E-2</v>
      </c>
      <c r="AQ3">
        <v>193.97970974252701</v>
      </c>
      <c r="AR3">
        <v>263.885290257473</v>
      </c>
    </row>
    <row r="4" spans="1:44" x14ac:dyDescent="0.25">
      <c r="A4" s="1">
        <v>188</v>
      </c>
      <c r="B4">
        <v>13</v>
      </c>
      <c r="C4">
        <v>13</v>
      </c>
      <c r="D4">
        <v>13</v>
      </c>
      <c r="E4">
        <v>3432</v>
      </c>
      <c r="F4">
        <v>4295863328</v>
      </c>
      <c r="G4" s="2">
        <v>44561</v>
      </c>
      <c r="H4" t="s">
        <v>64</v>
      </c>
      <c r="I4" t="s">
        <v>65</v>
      </c>
      <c r="J4" t="s">
        <v>46</v>
      </c>
      <c r="K4">
        <v>-1419.7249999999999</v>
      </c>
      <c r="L4">
        <v>-1067.7919999999999</v>
      </c>
      <c r="M4">
        <v>966.15899999999999</v>
      </c>
      <c r="N4">
        <v>-1.1051928305796459</v>
      </c>
      <c r="O4">
        <v>-0.23851775672793529</v>
      </c>
      <c r="P4">
        <v>4476.7820000000002</v>
      </c>
      <c r="Q4">
        <v>2021</v>
      </c>
      <c r="R4">
        <v>0</v>
      </c>
      <c r="S4">
        <v>0</v>
      </c>
      <c r="T4">
        <v>4295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3</v>
      </c>
      <c r="AJ4">
        <v>1</v>
      </c>
      <c r="AK4">
        <v>6945.27545454545</v>
      </c>
      <c r="AL4">
        <v>5</v>
      </c>
      <c r="AM4">
        <v>1</v>
      </c>
      <c r="AN4">
        <v>2021</v>
      </c>
      <c r="AO4" t="s">
        <v>48</v>
      </c>
      <c r="AP4">
        <v>3.5835499651311283E-2</v>
      </c>
      <c r="AQ4">
        <v>160.42771979999659</v>
      </c>
      <c r="AR4">
        <v>-1580.152719799996</v>
      </c>
    </row>
    <row r="5" spans="1:44" x14ac:dyDescent="0.25">
      <c r="A5" s="1">
        <v>189</v>
      </c>
      <c r="B5">
        <v>14</v>
      </c>
      <c r="C5">
        <v>14</v>
      </c>
      <c r="D5">
        <v>14</v>
      </c>
      <c r="E5">
        <v>3433</v>
      </c>
      <c r="F5">
        <v>4295863328</v>
      </c>
      <c r="G5" s="2">
        <v>44196</v>
      </c>
      <c r="H5" t="s">
        <v>64</v>
      </c>
      <c r="I5" t="s">
        <v>65</v>
      </c>
      <c r="J5" t="s">
        <v>46</v>
      </c>
      <c r="K5">
        <v>-202.63800000000001</v>
      </c>
      <c r="L5">
        <v>-171.99600000000001</v>
      </c>
      <c r="M5">
        <v>1861.125</v>
      </c>
      <c r="N5">
        <v>-9.2415071529316953E-2</v>
      </c>
      <c r="O5">
        <v>-2.1181757747469641E-2</v>
      </c>
      <c r="P5">
        <v>8120.0060000000003</v>
      </c>
      <c r="Q5">
        <v>2020</v>
      </c>
      <c r="R5">
        <v>0</v>
      </c>
      <c r="S5">
        <v>0</v>
      </c>
      <c r="T5">
        <v>4295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3</v>
      </c>
      <c r="AJ5">
        <v>1</v>
      </c>
      <c r="AK5">
        <v>6945.27545454545</v>
      </c>
      <c r="AL5">
        <v>5</v>
      </c>
      <c r="AM5">
        <v>1</v>
      </c>
      <c r="AN5">
        <v>2020</v>
      </c>
      <c r="AO5" t="s">
        <v>48</v>
      </c>
      <c r="AP5">
        <v>3.5835499651311283E-2</v>
      </c>
      <c r="AQ5">
        <v>290.98447218164551</v>
      </c>
      <c r="AR5">
        <v>-493.62247218164538</v>
      </c>
    </row>
    <row r="6" spans="1:44" x14ac:dyDescent="0.25">
      <c r="A6" s="1">
        <v>327</v>
      </c>
      <c r="B6">
        <v>15</v>
      </c>
      <c r="C6">
        <v>15</v>
      </c>
      <c r="D6">
        <v>15</v>
      </c>
      <c r="E6">
        <v>3434</v>
      </c>
      <c r="F6">
        <v>4295863328</v>
      </c>
      <c r="G6" s="2">
        <v>43830</v>
      </c>
      <c r="H6" t="s">
        <v>64</v>
      </c>
      <c r="I6" t="s">
        <v>65</v>
      </c>
      <c r="J6" t="s">
        <v>46</v>
      </c>
      <c r="K6">
        <v>362.78399999999999</v>
      </c>
      <c r="L6">
        <v>250.33</v>
      </c>
      <c r="M6">
        <v>2446.5259999999998</v>
      </c>
      <c r="N6">
        <v>0.10232059663375739</v>
      </c>
      <c r="O6">
        <v>2.9650958950839561E-2</v>
      </c>
      <c r="P6">
        <v>8442.56</v>
      </c>
      <c r="Q6">
        <v>2019</v>
      </c>
      <c r="R6">
        <v>0</v>
      </c>
      <c r="S6">
        <v>0</v>
      </c>
      <c r="T6">
        <v>4295</v>
      </c>
      <c r="U6">
        <v>0</v>
      </c>
      <c r="V6">
        <v>0</v>
      </c>
      <c r="W6">
        <v>0</v>
      </c>
      <c r="X6">
        <v>0</v>
      </c>
      <c r="Y6" t="s">
        <v>86</v>
      </c>
      <c r="Z6">
        <v>0</v>
      </c>
      <c r="AA6">
        <v>1</v>
      </c>
      <c r="AB6">
        <v>0</v>
      </c>
      <c r="AC6">
        <v>0</v>
      </c>
      <c r="AD6">
        <v>0</v>
      </c>
      <c r="AE6" t="s">
        <v>87</v>
      </c>
      <c r="AF6">
        <v>0</v>
      </c>
      <c r="AG6">
        <v>0</v>
      </c>
      <c r="AH6">
        <v>0</v>
      </c>
      <c r="AI6">
        <v>3</v>
      </c>
      <c r="AJ6">
        <v>1</v>
      </c>
      <c r="AK6">
        <v>6945.27545454545</v>
      </c>
      <c r="AL6">
        <v>5</v>
      </c>
      <c r="AM6">
        <v>1</v>
      </c>
      <c r="AN6">
        <v>2019</v>
      </c>
      <c r="AO6" t="s">
        <v>59</v>
      </c>
      <c r="AP6">
        <v>4.4682896773591482E-2</v>
      </c>
      <c r="AQ6">
        <v>377.23803698485239</v>
      </c>
      <c r="AR6">
        <v>-14.454036984852451</v>
      </c>
    </row>
    <row r="7" spans="1:44" x14ac:dyDescent="0.25">
      <c r="A7" s="1">
        <v>328</v>
      </c>
      <c r="B7">
        <v>16</v>
      </c>
      <c r="C7">
        <v>16</v>
      </c>
      <c r="D7">
        <v>16</v>
      </c>
      <c r="E7">
        <v>3435</v>
      </c>
      <c r="F7">
        <v>4295863328</v>
      </c>
      <c r="G7" s="2">
        <v>43465</v>
      </c>
      <c r="H7" t="s">
        <v>64</v>
      </c>
      <c r="I7" t="s">
        <v>65</v>
      </c>
      <c r="J7" t="s">
        <v>46</v>
      </c>
      <c r="K7">
        <v>710.33299999999997</v>
      </c>
      <c r="L7">
        <v>487.81900000000002</v>
      </c>
      <c r="M7">
        <v>2625.3209999999999</v>
      </c>
      <c r="N7">
        <v>0.185813087237713</v>
      </c>
      <c r="O7">
        <v>6.1989658372515889E-2</v>
      </c>
      <c r="P7">
        <v>7869.3609999999999</v>
      </c>
      <c r="Q7">
        <v>2018</v>
      </c>
      <c r="R7">
        <v>0</v>
      </c>
      <c r="S7">
        <v>0</v>
      </c>
      <c r="T7">
        <v>4295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3</v>
      </c>
      <c r="AJ7">
        <v>1</v>
      </c>
      <c r="AK7">
        <v>6945.27545454545</v>
      </c>
      <c r="AL7">
        <v>5</v>
      </c>
      <c r="AM7">
        <v>1</v>
      </c>
      <c r="AN7">
        <v>2018</v>
      </c>
      <c r="AO7" t="s">
        <v>59</v>
      </c>
      <c r="AP7">
        <v>4.4682896773591482E-2</v>
      </c>
      <c r="AQ7">
        <v>351.62584523712661</v>
      </c>
      <c r="AR7">
        <v>358.70715476287342</v>
      </c>
    </row>
    <row r="8" spans="1:44" x14ac:dyDescent="0.25">
      <c r="A8" s="1">
        <v>329</v>
      </c>
      <c r="B8">
        <v>17</v>
      </c>
      <c r="C8">
        <v>17</v>
      </c>
      <c r="D8">
        <v>17</v>
      </c>
      <c r="E8">
        <v>3436</v>
      </c>
      <c r="F8">
        <v>4295863328</v>
      </c>
      <c r="G8" s="2">
        <v>43100</v>
      </c>
      <c r="H8" t="s">
        <v>64</v>
      </c>
      <c r="I8" t="s">
        <v>65</v>
      </c>
      <c r="J8" t="s">
        <v>46</v>
      </c>
      <c r="K8">
        <v>289.51900000000001</v>
      </c>
      <c r="L8">
        <v>174.501</v>
      </c>
      <c r="M8">
        <v>2593.92</v>
      </c>
      <c r="N8">
        <v>6.7273084752035528E-2</v>
      </c>
      <c r="O8">
        <v>2.1385432277993829E-2</v>
      </c>
      <c r="P8">
        <v>8159.8069999999998</v>
      </c>
      <c r="Q8">
        <v>2017</v>
      </c>
      <c r="R8">
        <v>0</v>
      </c>
      <c r="S8">
        <v>0</v>
      </c>
      <c r="T8">
        <v>4295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3</v>
      </c>
      <c r="AJ8">
        <v>1</v>
      </c>
      <c r="AK8">
        <v>6945.27545454545</v>
      </c>
      <c r="AL8">
        <v>5</v>
      </c>
      <c r="AM8">
        <v>1</v>
      </c>
      <c r="AN8">
        <v>2017</v>
      </c>
      <c r="AO8" t="s">
        <v>59</v>
      </c>
      <c r="AP8">
        <v>4.4682896773591482E-2</v>
      </c>
      <c r="AQ8">
        <v>364.60381387342909</v>
      </c>
      <c r="AR8">
        <v>-75.084813873429141</v>
      </c>
    </row>
    <row r="9" spans="1:44" x14ac:dyDescent="0.25">
      <c r="A9" s="1">
        <v>429</v>
      </c>
      <c r="B9">
        <v>18</v>
      </c>
      <c r="C9">
        <v>18</v>
      </c>
      <c r="D9">
        <v>18</v>
      </c>
      <c r="E9">
        <v>3437</v>
      </c>
      <c r="F9">
        <v>4295863328</v>
      </c>
      <c r="G9" s="2">
        <v>42735</v>
      </c>
      <c r="H9" t="s">
        <v>64</v>
      </c>
      <c r="I9" t="s">
        <v>65</v>
      </c>
      <c r="J9" t="s">
        <v>46</v>
      </c>
      <c r="K9">
        <v>352.23</v>
      </c>
      <c r="L9">
        <v>245.4</v>
      </c>
      <c r="M9">
        <v>2426.73</v>
      </c>
      <c r="N9">
        <v>0.1011237344080306</v>
      </c>
      <c r="O9">
        <v>3.1265511719852861E-2</v>
      </c>
      <c r="P9">
        <v>7848.9040000000005</v>
      </c>
      <c r="Q9">
        <v>2016</v>
      </c>
      <c r="R9">
        <v>0</v>
      </c>
      <c r="S9">
        <v>0</v>
      </c>
      <c r="T9">
        <v>4295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3</v>
      </c>
      <c r="AJ9">
        <v>1</v>
      </c>
      <c r="AK9">
        <v>6945.27545454545</v>
      </c>
      <c r="AL9">
        <v>5</v>
      </c>
      <c r="AM9">
        <v>1</v>
      </c>
      <c r="AN9">
        <v>2016</v>
      </c>
      <c r="AO9" t="s">
        <v>62</v>
      </c>
      <c r="AP9">
        <v>5.573875737993636E-2</v>
      </c>
      <c r="AQ9">
        <v>437.48815575441199</v>
      </c>
      <c r="AR9">
        <v>-85.25815575441203</v>
      </c>
    </row>
    <row r="10" spans="1:44" x14ac:dyDescent="0.25">
      <c r="A10" s="1">
        <v>430</v>
      </c>
      <c r="B10">
        <v>19</v>
      </c>
      <c r="C10">
        <v>19</v>
      </c>
      <c r="D10">
        <v>19</v>
      </c>
      <c r="E10">
        <v>3438</v>
      </c>
      <c r="F10">
        <v>4295863328</v>
      </c>
      <c r="G10" s="2">
        <v>42369</v>
      </c>
      <c r="H10" t="s">
        <v>64</v>
      </c>
      <c r="I10" t="s">
        <v>65</v>
      </c>
      <c r="J10" t="s">
        <v>46</v>
      </c>
      <c r="K10">
        <v>305.11</v>
      </c>
      <c r="L10">
        <v>172.40100000000001</v>
      </c>
      <c r="M10">
        <v>2223.444</v>
      </c>
      <c r="N10">
        <v>7.7537819706725242E-2</v>
      </c>
      <c r="O10">
        <v>2.3661847263112861E-2</v>
      </c>
      <c r="P10">
        <v>7286.0330000000004</v>
      </c>
      <c r="Q10">
        <v>2015</v>
      </c>
      <c r="R10">
        <v>0</v>
      </c>
      <c r="S10">
        <v>0</v>
      </c>
      <c r="T10">
        <v>4295</v>
      </c>
      <c r="U10">
        <v>0</v>
      </c>
      <c r="V10">
        <v>0</v>
      </c>
      <c r="W10">
        <v>0</v>
      </c>
      <c r="X10">
        <v>425000000</v>
      </c>
      <c r="Y10" t="s">
        <v>86</v>
      </c>
      <c r="Z10">
        <v>0</v>
      </c>
      <c r="AA10">
        <v>1</v>
      </c>
      <c r="AB10">
        <v>0</v>
      </c>
      <c r="AC10">
        <v>0</v>
      </c>
      <c r="AD10">
        <v>1</v>
      </c>
      <c r="AE10" t="s">
        <v>87</v>
      </c>
      <c r="AF10">
        <v>0</v>
      </c>
      <c r="AG10">
        <v>0</v>
      </c>
      <c r="AH10">
        <v>0</v>
      </c>
      <c r="AI10">
        <v>3</v>
      </c>
      <c r="AJ10">
        <v>1</v>
      </c>
      <c r="AK10">
        <v>6945.27545454545</v>
      </c>
      <c r="AL10">
        <v>5</v>
      </c>
      <c r="AM10">
        <v>1</v>
      </c>
      <c r="AN10">
        <v>2015</v>
      </c>
      <c r="AO10" t="s">
        <v>62</v>
      </c>
      <c r="AP10">
        <v>5.573875737993636E-2</v>
      </c>
      <c r="AQ10">
        <v>406.11442564920992</v>
      </c>
      <c r="AR10">
        <v>-101.00442564920979</v>
      </c>
    </row>
    <row r="11" spans="1:44" x14ac:dyDescent="0.25">
      <c r="A11" s="1">
        <v>431</v>
      </c>
      <c r="B11">
        <v>20</v>
      </c>
      <c r="C11">
        <v>20</v>
      </c>
      <c r="D11">
        <v>20</v>
      </c>
      <c r="E11">
        <v>3439</v>
      </c>
      <c r="F11">
        <v>4295863328</v>
      </c>
      <c r="G11" s="2">
        <v>42004</v>
      </c>
      <c r="H11" t="s">
        <v>64</v>
      </c>
      <c r="I11" t="s">
        <v>65</v>
      </c>
      <c r="J11" t="s">
        <v>46</v>
      </c>
      <c r="K11">
        <v>215.661</v>
      </c>
      <c r="L11">
        <v>136.11500000000001</v>
      </c>
      <c r="M11">
        <v>2312.5520000000001</v>
      </c>
      <c r="N11">
        <v>5.8859217003552788E-2</v>
      </c>
      <c r="O11">
        <v>1.9908885566068939E-2</v>
      </c>
      <c r="P11">
        <v>6836.8969999999999</v>
      </c>
      <c r="Q11">
        <v>2014</v>
      </c>
      <c r="R11">
        <v>0</v>
      </c>
      <c r="S11">
        <v>0</v>
      </c>
      <c r="T11">
        <v>4295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3</v>
      </c>
      <c r="AJ11">
        <v>1</v>
      </c>
      <c r="AK11">
        <v>6945.27545454545</v>
      </c>
      <c r="AL11">
        <v>5</v>
      </c>
      <c r="AM11">
        <v>1</v>
      </c>
      <c r="AN11">
        <v>2014</v>
      </c>
      <c r="AO11" t="s">
        <v>62</v>
      </c>
      <c r="AP11">
        <v>5.573875737993636E-2</v>
      </c>
      <c r="AQ11">
        <v>381.08014311461483</v>
      </c>
      <c r="AR11">
        <v>-165.4191431146148</v>
      </c>
    </row>
    <row r="12" spans="1:44" x14ac:dyDescent="0.25">
      <c r="A12" s="1">
        <v>432</v>
      </c>
      <c r="B12">
        <v>21</v>
      </c>
      <c r="C12">
        <v>21</v>
      </c>
      <c r="D12">
        <v>21</v>
      </c>
      <c r="E12">
        <v>3440</v>
      </c>
      <c r="F12">
        <v>4295863328</v>
      </c>
      <c r="G12" s="2">
        <v>41639</v>
      </c>
      <c r="H12" t="s">
        <v>64</v>
      </c>
      <c r="I12" t="s">
        <v>65</v>
      </c>
      <c r="J12" t="s">
        <v>46</v>
      </c>
      <c r="K12">
        <v>244.51599999999999</v>
      </c>
      <c r="L12">
        <v>159.99100000000001</v>
      </c>
      <c r="M12">
        <v>2543.3560000000002</v>
      </c>
      <c r="N12">
        <v>6.2905468208147033E-2</v>
      </c>
      <c r="O12">
        <v>2.4270840191495571E-2</v>
      </c>
      <c r="P12">
        <v>6591.902</v>
      </c>
      <c r="Q12">
        <v>2013</v>
      </c>
      <c r="R12">
        <v>0</v>
      </c>
      <c r="S12">
        <v>0</v>
      </c>
      <c r="T12">
        <v>4295</v>
      </c>
      <c r="U12">
        <v>0</v>
      </c>
      <c r="V12">
        <v>0</v>
      </c>
      <c r="W12">
        <v>0</v>
      </c>
      <c r="X12">
        <v>450000000</v>
      </c>
      <c r="Y12" t="s">
        <v>86</v>
      </c>
      <c r="Z12">
        <v>0</v>
      </c>
      <c r="AA12">
        <v>1</v>
      </c>
      <c r="AB12">
        <v>0</v>
      </c>
      <c r="AC12">
        <v>0</v>
      </c>
      <c r="AD12">
        <v>1</v>
      </c>
      <c r="AE12" t="s">
        <v>87</v>
      </c>
      <c r="AF12">
        <v>0</v>
      </c>
      <c r="AG12">
        <v>0</v>
      </c>
      <c r="AH12">
        <v>0</v>
      </c>
      <c r="AI12">
        <v>3</v>
      </c>
      <c r="AJ12">
        <v>1</v>
      </c>
      <c r="AK12">
        <v>6945.27545454545</v>
      </c>
      <c r="AL12">
        <v>5</v>
      </c>
      <c r="AM12">
        <v>1</v>
      </c>
      <c r="AN12">
        <v>2013</v>
      </c>
      <c r="AO12" t="s">
        <v>62</v>
      </c>
      <c r="AP12">
        <v>5.573875737993636E-2</v>
      </c>
      <c r="AQ12">
        <v>367.42442625031731</v>
      </c>
      <c r="AR12">
        <v>-122.90842625031731</v>
      </c>
    </row>
    <row r="13" spans="1:44" x14ac:dyDescent="0.25">
      <c r="A13" s="1">
        <v>190</v>
      </c>
      <c r="B13">
        <v>107</v>
      </c>
      <c r="C13">
        <v>107</v>
      </c>
      <c r="D13">
        <v>107</v>
      </c>
      <c r="E13">
        <v>1513</v>
      </c>
      <c r="F13" t="s">
        <v>66</v>
      </c>
      <c r="G13" s="2">
        <v>45291</v>
      </c>
      <c r="H13" t="s">
        <v>67</v>
      </c>
      <c r="I13" t="s">
        <v>65</v>
      </c>
      <c r="J13" t="s">
        <v>46</v>
      </c>
      <c r="K13">
        <v>189990180.33568799</v>
      </c>
      <c r="L13">
        <v>151482336.64175901</v>
      </c>
      <c r="M13">
        <v>1006277487.56501</v>
      </c>
      <c r="N13">
        <v>0.15053734035958211</v>
      </c>
      <c r="O13">
        <v>5.5044645225159221E-2</v>
      </c>
      <c r="P13">
        <v>2751990425.6285601</v>
      </c>
      <c r="Q13">
        <v>2023</v>
      </c>
      <c r="R13">
        <v>0</v>
      </c>
      <c r="S13">
        <v>0</v>
      </c>
      <c r="T13" t="s">
        <v>68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1</v>
      </c>
      <c r="AK13">
        <v>2747816764.4533901</v>
      </c>
      <c r="AL13">
        <v>9</v>
      </c>
      <c r="AM13">
        <v>1</v>
      </c>
      <c r="AN13">
        <v>2023</v>
      </c>
      <c r="AO13" t="s">
        <v>48</v>
      </c>
      <c r="AP13">
        <v>3.5835499651311283E-2</v>
      </c>
      <c r="AQ13">
        <v>98618951.938024238</v>
      </c>
      <c r="AR13">
        <v>91371228.397663757</v>
      </c>
    </row>
    <row r="14" spans="1:44" x14ac:dyDescent="0.25">
      <c r="A14" s="1">
        <v>191</v>
      </c>
      <c r="B14">
        <v>108</v>
      </c>
      <c r="C14">
        <v>108</v>
      </c>
      <c r="D14">
        <v>108</v>
      </c>
      <c r="E14">
        <v>1514</v>
      </c>
      <c r="F14" t="s">
        <v>66</v>
      </c>
      <c r="G14" s="2">
        <v>44926</v>
      </c>
      <c r="H14" t="s">
        <v>67</v>
      </c>
      <c r="I14" t="s">
        <v>65</v>
      </c>
      <c r="J14" t="s">
        <v>46</v>
      </c>
      <c r="K14">
        <v>97514143.665959001</v>
      </c>
      <c r="L14">
        <v>100555406.935598</v>
      </c>
      <c r="M14">
        <v>989456860.10851598</v>
      </c>
      <c r="N14">
        <v>0.1016268732772946</v>
      </c>
      <c r="O14">
        <v>3.5829486946003859E-2</v>
      </c>
      <c r="P14">
        <v>2806498655.3432398</v>
      </c>
      <c r="Q14">
        <v>2022</v>
      </c>
      <c r="R14">
        <v>0</v>
      </c>
      <c r="S14">
        <v>0</v>
      </c>
      <c r="T14" t="s">
        <v>68</v>
      </c>
      <c r="U14">
        <v>0</v>
      </c>
      <c r="V14">
        <v>0</v>
      </c>
      <c r="W14">
        <v>0</v>
      </c>
      <c r="X14">
        <v>48912313</v>
      </c>
      <c r="Y14" t="s">
        <v>69</v>
      </c>
      <c r="Z14">
        <v>0</v>
      </c>
      <c r="AA14">
        <v>1</v>
      </c>
      <c r="AB14">
        <v>0</v>
      </c>
      <c r="AC14">
        <v>0</v>
      </c>
      <c r="AD14">
        <v>1</v>
      </c>
      <c r="AE14" t="s">
        <v>68</v>
      </c>
      <c r="AF14">
        <v>0</v>
      </c>
      <c r="AG14">
        <v>0</v>
      </c>
      <c r="AH14">
        <v>0</v>
      </c>
      <c r="AI14">
        <v>1</v>
      </c>
      <c r="AJ14">
        <v>1</v>
      </c>
      <c r="AK14">
        <v>2747816764.4533901</v>
      </c>
      <c r="AL14">
        <v>9</v>
      </c>
      <c r="AM14">
        <v>1</v>
      </c>
      <c r="AN14">
        <v>2022</v>
      </c>
      <c r="AO14" t="s">
        <v>48</v>
      </c>
      <c r="AP14">
        <v>3.5835499651311283E-2</v>
      </c>
      <c r="AQ14">
        <v>100572281.5849582</v>
      </c>
      <c r="AR14">
        <v>-3058137.9189992398</v>
      </c>
    </row>
    <row r="15" spans="1:44" x14ac:dyDescent="0.25">
      <c r="A15" s="1">
        <v>192</v>
      </c>
      <c r="B15">
        <v>109</v>
      </c>
      <c r="C15">
        <v>109</v>
      </c>
      <c r="D15">
        <v>109</v>
      </c>
      <c r="E15">
        <v>1515</v>
      </c>
      <c r="F15" t="s">
        <v>66</v>
      </c>
      <c r="G15" s="2">
        <v>44561</v>
      </c>
      <c r="H15" t="s">
        <v>67</v>
      </c>
      <c r="I15" t="s">
        <v>65</v>
      </c>
      <c r="J15" t="s">
        <v>46</v>
      </c>
      <c r="K15">
        <v>141357560.803666</v>
      </c>
      <c r="L15">
        <v>118254651.627306</v>
      </c>
      <c r="M15">
        <v>989919181.05980504</v>
      </c>
      <c r="N15">
        <v>0.1194588951198045</v>
      </c>
      <c r="O15">
        <v>4.5148734225665572E-2</v>
      </c>
      <c r="P15">
        <v>2619224074.72682</v>
      </c>
      <c r="Q15">
        <v>2021</v>
      </c>
      <c r="R15">
        <v>0</v>
      </c>
      <c r="S15">
        <v>0</v>
      </c>
      <c r="T15" t="s">
        <v>68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1</v>
      </c>
      <c r="AK15">
        <v>2747816764.4533901</v>
      </c>
      <c r="AL15">
        <v>9</v>
      </c>
      <c r="AM15">
        <v>1</v>
      </c>
      <c r="AN15">
        <v>2021</v>
      </c>
      <c r="AO15" t="s">
        <v>48</v>
      </c>
      <c r="AP15">
        <v>3.5835499651311283E-2</v>
      </c>
      <c r="AQ15">
        <v>93861203.416579053</v>
      </c>
      <c r="AR15">
        <v>47496357.387086943</v>
      </c>
    </row>
    <row r="16" spans="1:44" x14ac:dyDescent="0.25">
      <c r="A16" s="1">
        <v>193</v>
      </c>
      <c r="B16">
        <v>110</v>
      </c>
      <c r="C16">
        <v>110</v>
      </c>
      <c r="D16">
        <v>110</v>
      </c>
      <c r="E16">
        <v>1516</v>
      </c>
      <c r="F16" t="s">
        <v>66</v>
      </c>
      <c r="G16" s="2">
        <v>44196</v>
      </c>
      <c r="H16" t="s">
        <v>67</v>
      </c>
      <c r="I16" t="s">
        <v>65</v>
      </c>
      <c r="J16" t="s">
        <v>46</v>
      </c>
      <c r="K16">
        <v>162989265.23423699</v>
      </c>
      <c r="L16">
        <v>124965201.831631</v>
      </c>
      <c r="M16">
        <v>1184534331.8069699</v>
      </c>
      <c r="N16">
        <v>0.1054973236959713</v>
      </c>
      <c r="O16">
        <v>4.1360074078351607E-2</v>
      </c>
      <c r="P16">
        <v>3021396953.8569899</v>
      </c>
      <c r="Q16">
        <v>2020</v>
      </c>
      <c r="R16">
        <v>0</v>
      </c>
      <c r="S16">
        <v>0</v>
      </c>
      <c r="T16" t="s">
        <v>68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1</v>
      </c>
      <c r="AK16">
        <v>2747816764.4533901</v>
      </c>
      <c r="AL16">
        <v>9</v>
      </c>
      <c r="AM16">
        <v>1</v>
      </c>
      <c r="AN16">
        <v>2020</v>
      </c>
      <c r="AO16" t="s">
        <v>48</v>
      </c>
      <c r="AP16">
        <v>3.5835499651311283E-2</v>
      </c>
      <c r="AQ16">
        <v>108273269.4864151</v>
      </c>
      <c r="AR16">
        <v>54715995.747821882</v>
      </c>
    </row>
    <row r="17" spans="1:44" x14ac:dyDescent="0.25">
      <c r="A17" s="1">
        <v>330</v>
      </c>
      <c r="B17">
        <v>111</v>
      </c>
      <c r="C17">
        <v>111</v>
      </c>
      <c r="D17">
        <v>111</v>
      </c>
      <c r="E17">
        <v>1517</v>
      </c>
      <c r="F17" t="s">
        <v>66</v>
      </c>
      <c r="G17" s="2">
        <v>43830</v>
      </c>
      <c r="H17" t="s">
        <v>67</v>
      </c>
      <c r="I17" t="s">
        <v>65</v>
      </c>
      <c r="J17" t="s">
        <v>46</v>
      </c>
      <c r="K17">
        <v>255585945.44244799</v>
      </c>
      <c r="L17">
        <v>189914570.85828301</v>
      </c>
      <c r="M17">
        <v>857556000</v>
      </c>
      <c r="N17">
        <v>0.2214602554915166</v>
      </c>
      <c r="O17">
        <v>7.130890420352029E-2</v>
      </c>
      <c r="P17">
        <v>2663265870.9248199</v>
      </c>
      <c r="Q17">
        <v>2019</v>
      </c>
      <c r="R17">
        <v>0</v>
      </c>
      <c r="S17">
        <v>0</v>
      </c>
      <c r="T17" t="s">
        <v>68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</v>
      </c>
      <c r="AJ17">
        <v>1</v>
      </c>
      <c r="AK17">
        <v>2747816764.4533901</v>
      </c>
      <c r="AL17">
        <v>9</v>
      </c>
      <c r="AM17">
        <v>1</v>
      </c>
      <c r="AN17">
        <v>2019</v>
      </c>
      <c r="AO17" t="s">
        <v>59</v>
      </c>
      <c r="AP17">
        <v>4.4682896773591482E-2</v>
      </c>
      <c r="AQ17">
        <v>119002433.9911629</v>
      </c>
      <c r="AR17">
        <v>136583511.45128509</v>
      </c>
    </row>
    <row r="18" spans="1:44" x14ac:dyDescent="0.25">
      <c r="A18" s="1">
        <v>331</v>
      </c>
      <c r="B18">
        <v>112</v>
      </c>
      <c r="C18">
        <v>112</v>
      </c>
      <c r="D18">
        <v>112</v>
      </c>
      <c r="E18">
        <v>1518</v>
      </c>
      <c r="F18" t="s">
        <v>66</v>
      </c>
      <c r="G18" s="2">
        <v>43465</v>
      </c>
      <c r="H18" t="s">
        <v>67</v>
      </c>
      <c r="I18" t="s">
        <v>65</v>
      </c>
      <c r="J18" t="s">
        <v>46</v>
      </c>
      <c r="K18">
        <v>268203474.05643401</v>
      </c>
      <c r="L18">
        <v>201080111.13516599</v>
      </c>
      <c r="M18">
        <v>921730035.36118901</v>
      </c>
      <c r="N18">
        <v>0.2181551033610083</v>
      </c>
      <c r="O18">
        <v>7.3092626939784341E-2</v>
      </c>
      <c r="P18">
        <v>2751031390.6328902</v>
      </c>
      <c r="Q18">
        <v>2018</v>
      </c>
      <c r="R18">
        <v>0</v>
      </c>
      <c r="S18">
        <v>0</v>
      </c>
      <c r="T18" t="s">
        <v>68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1</v>
      </c>
      <c r="AK18">
        <v>2747816764.4533901</v>
      </c>
      <c r="AL18">
        <v>9</v>
      </c>
      <c r="AM18">
        <v>1</v>
      </c>
      <c r="AN18">
        <v>2018</v>
      </c>
      <c r="AO18" t="s">
        <v>59</v>
      </c>
      <c r="AP18">
        <v>4.4682896773591482E-2</v>
      </c>
      <c r="AQ18">
        <v>122924051.6485592</v>
      </c>
      <c r="AR18">
        <v>145279422.40787479</v>
      </c>
    </row>
    <row r="19" spans="1:44" x14ac:dyDescent="0.25">
      <c r="A19" s="1">
        <v>332</v>
      </c>
      <c r="B19">
        <v>113</v>
      </c>
      <c r="C19">
        <v>113</v>
      </c>
      <c r="D19">
        <v>113</v>
      </c>
      <c r="E19">
        <v>1519</v>
      </c>
      <c r="F19" t="s">
        <v>66</v>
      </c>
      <c r="G19" s="2">
        <v>43100</v>
      </c>
      <c r="H19" t="s">
        <v>67</v>
      </c>
      <c r="I19" t="s">
        <v>65</v>
      </c>
      <c r="J19" t="s">
        <v>46</v>
      </c>
      <c r="K19">
        <v>308830843.569511</v>
      </c>
      <c r="L19">
        <v>233437326.934028</v>
      </c>
      <c r="M19">
        <v>1045523104.20565</v>
      </c>
      <c r="N19">
        <v>0.2232732361389422</v>
      </c>
      <c r="O19">
        <v>7.9850764736819582E-2</v>
      </c>
      <c r="P19">
        <v>2923420053.6890898</v>
      </c>
      <c r="Q19">
        <v>2017</v>
      </c>
      <c r="R19">
        <v>0</v>
      </c>
      <c r="S19">
        <v>0</v>
      </c>
      <c r="T19" t="s">
        <v>68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1</v>
      </c>
      <c r="AK19">
        <v>2747816764.4533901</v>
      </c>
      <c r="AL19">
        <v>9</v>
      </c>
      <c r="AM19">
        <v>1</v>
      </c>
      <c r="AN19">
        <v>2017</v>
      </c>
      <c r="AO19" t="s">
        <v>59</v>
      </c>
      <c r="AP19">
        <v>4.4682896773591482E-2</v>
      </c>
      <c r="AQ19">
        <v>130626876.4848368</v>
      </c>
      <c r="AR19">
        <v>178203967.08467409</v>
      </c>
    </row>
    <row r="20" spans="1:44" x14ac:dyDescent="0.25">
      <c r="A20" s="1">
        <v>433</v>
      </c>
      <c r="B20">
        <v>114</v>
      </c>
      <c r="C20">
        <v>114</v>
      </c>
      <c r="D20">
        <v>114</v>
      </c>
      <c r="E20">
        <v>1520</v>
      </c>
      <c r="F20" t="s">
        <v>66</v>
      </c>
      <c r="G20" s="2">
        <v>42735</v>
      </c>
      <c r="H20" t="s">
        <v>67</v>
      </c>
      <c r="I20" t="s">
        <v>65</v>
      </c>
      <c r="J20" t="s">
        <v>46</v>
      </c>
      <c r="K20">
        <v>296254121.53177202</v>
      </c>
      <c r="L20">
        <v>231345842.609332</v>
      </c>
      <c r="M20">
        <v>947507328.66171598</v>
      </c>
      <c r="N20">
        <v>0.2441625891549471</v>
      </c>
      <c r="O20">
        <v>8.7388975462561011E-2</v>
      </c>
      <c r="P20">
        <v>2647311533.1171799</v>
      </c>
      <c r="Q20">
        <v>2016</v>
      </c>
      <c r="R20">
        <v>0</v>
      </c>
      <c r="S20">
        <v>0</v>
      </c>
      <c r="T20" t="s">
        <v>68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1</v>
      </c>
      <c r="AJ20">
        <v>1</v>
      </c>
      <c r="AK20">
        <v>2747816764.4533901</v>
      </c>
      <c r="AL20">
        <v>9</v>
      </c>
      <c r="AM20">
        <v>1</v>
      </c>
      <c r="AN20">
        <v>2016</v>
      </c>
      <c r="AO20" t="s">
        <v>62</v>
      </c>
      <c r="AP20">
        <v>5.573875737993636E-2</v>
      </c>
      <c r="AQ20">
        <v>147557855.25352591</v>
      </c>
      <c r="AR20">
        <v>148696266.27824619</v>
      </c>
    </row>
    <row r="21" spans="1:44" x14ac:dyDescent="0.25">
      <c r="A21" s="1">
        <v>434</v>
      </c>
      <c r="B21">
        <v>115</v>
      </c>
      <c r="C21">
        <v>115</v>
      </c>
      <c r="D21">
        <v>115</v>
      </c>
      <c r="E21">
        <v>1521</v>
      </c>
      <c r="F21" t="s">
        <v>66</v>
      </c>
      <c r="G21" s="2">
        <v>42369</v>
      </c>
      <c r="H21" t="s">
        <v>67</v>
      </c>
      <c r="I21" t="s">
        <v>65</v>
      </c>
      <c r="J21" t="s">
        <v>46</v>
      </c>
      <c r="K21">
        <v>235032255.42134601</v>
      </c>
      <c r="L21">
        <v>187446292.29356501</v>
      </c>
      <c r="M21">
        <v>871930461.255916</v>
      </c>
      <c r="N21">
        <v>0.2149784881050836</v>
      </c>
      <c r="O21">
        <v>7.8455550399919693E-2</v>
      </c>
      <c r="P21">
        <v>2389203712.65099</v>
      </c>
      <c r="Q21">
        <v>2015</v>
      </c>
      <c r="R21">
        <v>0</v>
      </c>
      <c r="S21">
        <v>0</v>
      </c>
      <c r="T21" t="s">
        <v>68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1</v>
      </c>
      <c r="AK21">
        <v>2747816764.4533901</v>
      </c>
      <c r="AL21">
        <v>9</v>
      </c>
      <c r="AM21">
        <v>1</v>
      </c>
      <c r="AN21">
        <v>2015</v>
      </c>
      <c r="AO21" t="s">
        <v>62</v>
      </c>
      <c r="AP21">
        <v>5.573875737993636E-2</v>
      </c>
      <c r="AQ21">
        <v>133171246.0706967</v>
      </c>
      <c r="AR21">
        <v>101861009.3506493</v>
      </c>
    </row>
    <row r="22" spans="1:44" x14ac:dyDescent="0.25">
      <c r="A22" s="1">
        <v>435</v>
      </c>
      <c r="B22">
        <v>116</v>
      </c>
      <c r="C22">
        <v>116</v>
      </c>
      <c r="D22">
        <v>116</v>
      </c>
      <c r="E22">
        <v>1522</v>
      </c>
      <c r="F22" t="s">
        <v>66</v>
      </c>
      <c r="G22" s="2">
        <v>42004</v>
      </c>
      <c r="H22" t="s">
        <v>67</v>
      </c>
      <c r="I22" t="s">
        <v>65</v>
      </c>
      <c r="J22" t="s">
        <v>46</v>
      </c>
      <c r="K22">
        <v>244237602.242744</v>
      </c>
      <c r="L22">
        <v>202936193.931398</v>
      </c>
      <c r="M22">
        <v>1007195941.62269</v>
      </c>
      <c r="N22">
        <v>0.20148631020538879</v>
      </c>
      <c r="O22">
        <v>7.6602976366542994E-2</v>
      </c>
      <c r="P22">
        <v>2649194633.9050102</v>
      </c>
      <c r="Q22">
        <v>2014</v>
      </c>
      <c r="R22">
        <v>0</v>
      </c>
      <c r="S22">
        <v>0</v>
      </c>
      <c r="T22" t="s">
        <v>68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</v>
      </c>
      <c r="AJ22">
        <v>1</v>
      </c>
      <c r="AK22">
        <v>2747816764.4533901</v>
      </c>
      <c r="AL22">
        <v>9</v>
      </c>
      <c r="AM22">
        <v>1</v>
      </c>
      <c r="AN22">
        <v>2014</v>
      </c>
      <c r="AO22" t="s">
        <v>62</v>
      </c>
      <c r="AP22">
        <v>5.573875737993636E-2</v>
      </c>
      <c r="AQ22">
        <v>147662816.95146069</v>
      </c>
      <c r="AR22">
        <v>96574785.291283309</v>
      </c>
    </row>
    <row r="23" spans="1:44" x14ac:dyDescent="0.25">
      <c r="A23" s="1">
        <v>436</v>
      </c>
      <c r="B23">
        <v>117</v>
      </c>
      <c r="C23">
        <v>117</v>
      </c>
      <c r="D23">
        <v>117</v>
      </c>
      <c r="E23">
        <v>1523</v>
      </c>
      <c r="F23" t="s">
        <v>66</v>
      </c>
      <c r="G23" s="2">
        <v>41639</v>
      </c>
      <c r="H23" t="s">
        <v>67</v>
      </c>
      <c r="I23" t="s">
        <v>65</v>
      </c>
      <c r="J23" t="s">
        <v>46</v>
      </c>
      <c r="K23">
        <v>283686897.01123202</v>
      </c>
      <c r="L23">
        <v>227887148.29621199</v>
      </c>
      <c r="M23">
        <v>1173693295.25985</v>
      </c>
      <c r="N23">
        <v>0.1941624351238701</v>
      </c>
      <c r="O23">
        <v>7.5875199517875663E-2</v>
      </c>
      <c r="P23">
        <v>3003447104.5117102</v>
      </c>
      <c r="Q23">
        <v>2013</v>
      </c>
      <c r="R23">
        <v>0</v>
      </c>
      <c r="S23">
        <v>0</v>
      </c>
      <c r="T23" t="s">
        <v>68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1</v>
      </c>
      <c r="AK23">
        <v>2747816764.4533901</v>
      </c>
      <c r="AL23">
        <v>9</v>
      </c>
      <c r="AM23">
        <v>1</v>
      </c>
      <c r="AN23">
        <v>2013</v>
      </c>
      <c r="AO23" t="s">
        <v>62</v>
      </c>
      <c r="AP23">
        <v>5.573875737993636E-2</v>
      </c>
      <c r="AQ23">
        <v>167408409.46185061</v>
      </c>
      <c r="AR23">
        <v>116278487.54938141</v>
      </c>
    </row>
    <row r="24" spans="1:44" x14ac:dyDescent="0.25">
      <c r="A24" s="1">
        <v>565</v>
      </c>
      <c r="B24">
        <v>425</v>
      </c>
      <c r="C24">
        <v>425</v>
      </c>
      <c r="D24">
        <v>425</v>
      </c>
      <c r="E24">
        <v>2214</v>
      </c>
      <c r="F24" t="s">
        <v>91</v>
      </c>
      <c r="G24" s="2">
        <v>45291</v>
      </c>
      <c r="H24" t="s">
        <v>92</v>
      </c>
      <c r="I24" t="s">
        <v>93</v>
      </c>
      <c r="J24" t="s">
        <v>46</v>
      </c>
      <c r="K24">
        <v>234488000</v>
      </c>
      <c r="L24">
        <v>87971000</v>
      </c>
      <c r="M24">
        <v>2266167000</v>
      </c>
      <c r="N24">
        <v>3.88192926646624E-2</v>
      </c>
      <c r="O24">
        <v>1.2555555238391559E-2</v>
      </c>
      <c r="P24">
        <v>7006540000</v>
      </c>
      <c r="Q24">
        <v>2023</v>
      </c>
      <c r="R24">
        <v>0</v>
      </c>
      <c r="S24">
        <v>0</v>
      </c>
      <c r="T24" t="s">
        <v>94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1</v>
      </c>
      <c r="AK24">
        <v>5930517636.3636303</v>
      </c>
      <c r="AL24">
        <v>10</v>
      </c>
      <c r="AM24">
        <v>1</v>
      </c>
      <c r="AN24">
        <v>2023</v>
      </c>
      <c r="AO24" t="s">
        <v>48</v>
      </c>
      <c r="AP24">
        <v>-3.8963866899207919E-3</v>
      </c>
      <c r="AQ24">
        <v>-27300189.198397629</v>
      </c>
      <c r="AR24">
        <v>261788189.19839761</v>
      </c>
    </row>
    <row r="25" spans="1:44" x14ac:dyDescent="0.25">
      <c r="A25" s="1">
        <v>566</v>
      </c>
      <c r="B25">
        <v>426</v>
      </c>
      <c r="C25">
        <v>426</v>
      </c>
      <c r="D25">
        <v>426</v>
      </c>
      <c r="E25">
        <v>2215</v>
      </c>
      <c r="F25" t="s">
        <v>91</v>
      </c>
      <c r="G25" s="2">
        <v>44926</v>
      </c>
      <c r="H25" t="s">
        <v>92</v>
      </c>
      <c r="I25" t="s">
        <v>93</v>
      </c>
      <c r="J25" t="s">
        <v>46</v>
      </c>
      <c r="K25">
        <v>509517000</v>
      </c>
      <c r="L25">
        <v>334999000</v>
      </c>
      <c r="M25">
        <v>2277312000</v>
      </c>
      <c r="N25">
        <v>0.14710281243852399</v>
      </c>
      <c r="O25">
        <v>5.1053573646523812E-2</v>
      </c>
      <c r="P25">
        <v>6561715000</v>
      </c>
      <c r="Q25">
        <v>2022</v>
      </c>
      <c r="R25">
        <v>0</v>
      </c>
      <c r="S25">
        <v>0</v>
      </c>
      <c r="T25" t="s">
        <v>94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1</v>
      </c>
      <c r="AK25">
        <v>5930517636.3636303</v>
      </c>
      <c r="AL25">
        <v>10</v>
      </c>
      <c r="AM25">
        <v>1</v>
      </c>
      <c r="AN25">
        <v>2022</v>
      </c>
      <c r="AO25" t="s">
        <v>48</v>
      </c>
      <c r="AP25">
        <v>-3.8963866899207919E-3</v>
      </c>
      <c r="AQ25">
        <v>-25566978.989053611</v>
      </c>
      <c r="AR25">
        <v>535083978.98905361</v>
      </c>
    </row>
    <row r="26" spans="1:44" x14ac:dyDescent="0.25">
      <c r="A26" s="1">
        <v>567</v>
      </c>
      <c r="B26">
        <v>427</v>
      </c>
      <c r="C26">
        <v>427</v>
      </c>
      <c r="D26">
        <v>427</v>
      </c>
      <c r="E26">
        <v>2216</v>
      </c>
      <c r="F26" t="s">
        <v>91</v>
      </c>
      <c r="G26" s="2">
        <v>44561</v>
      </c>
      <c r="H26" t="s">
        <v>92</v>
      </c>
      <c r="I26" t="s">
        <v>93</v>
      </c>
      <c r="J26" t="s">
        <v>46</v>
      </c>
      <c r="K26">
        <v>1474030000</v>
      </c>
      <c r="L26">
        <v>993164000</v>
      </c>
      <c r="M26">
        <v>2242713000</v>
      </c>
      <c r="N26">
        <v>0.44284043477698659</v>
      </c>
      <c r="O26">
        <v>0.15019852270194131</v>
      </c>
      <c r="P26">
        <v>6612342000</v>
      </c>
      <c r="Q26">
        <v>2021</v>
      </c>
      <c r="R26">
        <v>0</v>
      </c>
      <c r="S26">
        <v>0</v>
      </c>
      <c r="T26" t="s">
        <v>94</v>
      </c>
      <c r="U26">
        <v>0</v>
      </c>
      <c r="V26">
        <v>0</v>
      </c>
      <c r="W26">
        <v>0</v>
      </c>
      <c r="X26">
        <v>300000000</v>
      </c>
      <c r="Y26" t="s">
        <v>95</v>
      </c>
      <c r="Z26">
        <v>0</v>
      </c>
      <c r="AA26">
        <v>1</v>
      </c>
      <c r="AB26">
        <v>0</v>
      </c>
      <c r="AC26">
        <v>0</v>
      </c>
      <c r="AD26">
        <v>1</v>
      </c>
      <c r="AE26" t="s">
        <v>95</v>
      </c>
      <c r="AF26">
        <v>0</v>
      </c>
      <c r="AG26">
        <v>0</v>
      </c>
      <c r="AH26">
        <v>0</v>
      </c>
      <c r="AI26">
        <v>1</v>
      </c>
      <c r="AJ26">
        <v>1</v>
      </c>
      <c r="AK26">
        <v>5930517636.3636303</v>
      </c>
      <c r="AL26">
        <v>10</v>
      </c>
      <c r="AM26">
        <v>1</v>
      </c>
      <c r="AN26">
        <v>2021</v>
      </c>
      <c r="AO26" t="s">
        <v>48</v>
      </c>
      <c r="AP26">
        <v>-3.8963866899207919E-3</v>
      </c>
      <c r="AQ26">
        <v>-25764241.358004231</v>
      </c>
      <c r="AR26">
        <v>1499794241.3580041</v>
      </c>
    </row>
    <row r="27" spans="1:44" x14ac:dyDescent="0.25">
      <c r="A27" s="1">
        <v>568</v>
      </c>
      <c r="B27">
        <v>428</v>
      </c>
      <c r="C27">
        <v>428</v>
      </c>
      <c r="D27">
        <v>428</v>
      </c>
      <c r="E27">
        <v>2217</v>
      </c>
      <c r="F27" t="s">
        <v>91</v>
      </c>
      <c r="G27" s="2">
        <v>44196</v>
      </c>
      <c r="H27" t="s">
        <v>92</v>
      </c>
      <c r="I27" t="s">
        <v>93</v>
      </c>
      <c r="J27" t="s">
        <v>46</v>
      </c>
      <c r="K27">
        <v>620813000</v>
      </c>
      <c r="L27">
        <v>432039000</v>
      </c>
      <c r="M27">
        <v>2060460000</v>
      </c>
      <c r="N27">
        <v>0.20968084796598821</v>
      </c>
      <c r="O27">
        <v>7.3113004393999523E-2</v>
      </c>
      <c r="P27">
        <v>5909195000</v>
      </c>
      <c r="Q27">
        <v>2020</v>
      </c>
      <c r="R27">
        <v>0</v>
      </c>
      <c r="S27">
        <v>0</v>
      </c>
      <c r="T27" t="s">
        <v>94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1</v>
      </c>
      <c r="AJ27">
        <v>1</v>
      </c>
      <c r="AK27">
        <v>5930517636.3636303</v>
      </c>
      <c r="AL27">
        <v>10</v>
      </c>
      <c r="AM27">
        <v>1</v>
      </c>
      <c r="AN27">
        <v>2020</v>
      </c>
      <c r="AO27" t="s">
        <v>48</v>
      </c>
      <c r="AP27">
        <v>-3.8963866899207919E-3</v>
      </c>
      <c r="AQ27">
        <v>-23024508.7461465</v>
      </c>
      <c r="AR27">
        <v>643837508.74614644</v>
      </c>
    </row>
    <row r="28" spans="1:44" x14ac:dyDescent="0.25">
      <c r="A28" s="1">
        <v>601</v>
      </c>
      <c r="B28">
        <v>429</v>
      </c>
      <c r="C28">
        <v>429</v>
      </c>
      <c r="D28">
        <v>429</v>
      </c>
      <c r="E28">
        <v>2218</v>
      </c>
      <c r="F28" t="s">
        <v>91</v>
      </c>
      <c r="G28" s="2">
        <v>43830</v>
      </c>
      <c r="H28" t="s">
        <v>92</v>
      </c>
      <c r="I28" t="s">
        <v>93</v>
      </c>
      <c r="J28" t="s">
        <v>46</v>
      </c>
      <c r="K28">
        <v>-120761000</v>
      </c>
      <c r="L28">
        <v>-89380000</v>
      </c>
      <c r="M28">
        <v>1920154000</v>
      </c>
      <c r="N28">
        <v>-4.6548349767779038E-2</v>
      </c>
      <c r="O28">
        <v>-1.631398488884752E-2</v>
      </c>
      <c r="P28">
        <v>5478735000</v>
      </c>
      <c r="Q28">
        <v>2019</v>
      </c>
      <c r="R28">
        <v>0</v>
      </c>
      <c r="S28">
        <v>0</v>
      </c>
      <c r="T28" t="s">
        <v>94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</v>
      </c>
      <c r="AJ28">
        <v>1</v>
      </c>
      <c r="AK28">
        <v>5930517636.3636303</v>
      </c>
      <c r="AL28">
        <v>10</v>
      </c>
      <c r="AM28">
        <v>1</v>
      </c>
      <c r="AN28">
        <v>2019</v>
      </c>
      <c r="AO28" t="s">
        <v>59</v>
      </c>
      <c r="AP28">
        <v>-8.5563410842011498E-3</v>
      </c>
      <c r="AQ28">
        <v>-46877925.369950794</v>
      </c>
      <c r="AR28">
        <v>-73883074.630049214</v>
      </c>
    </row>
    <row r="29" spans="1:44" x14ac:dyDescent="0.25">
      <c r="A29" s="1">
        <v>602</v>
      </c>
      <c r="B29">
        <v>430</v>
      </c>
      <c r="C29">
        <v>430</v>
      </c>
      <c r="D29">
        <v>430</v>
      </c>
      <c r="E29">
        <v>2219</v>
      </c>
      <c r="F29" t="s">
        <v>91</v>
      </c>
      <c r="G29" s="2">
        <v>43465</v>
      </c>
      <c r="H29" t="s">
        <v>92</v>
      </c>
      <c r="I29" t="s">
        <v>93</v>
      </c>
      <c r="J29" t="s">
        <v>46</v>
      </c>
      <c r="K29">
        <v>253006000</v>
      </c>
      <c r="L29">
        <v>174466000</v>
      </c>
      <c r="M29">
        <v>2027265000</v>
      </c>
      <c r="N29">
        <v>8.6059789913997431E-2</v>
      </c>
      <c r="O29">
        <v>3.2662452482783343E-2</v>
      </c>
      <c r="P29">
        <v>5341485000</v>
      </c>
      <c r="Q29">
        <v>2018</v>
      </c>
      <c r="R29">
        <v>0</v>
      </c>
      <c r="S29">
        <v>0</v>
      </c>
      <c r="T29" t="s">
        <v>94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1</v>
      </c>
      <c r="AK29">
        <v>5930517636.3636303</v>
      </c>
      <c r="AL29">
        <v>10</v>
      </c>
      <c r="AM29">
        <v>1</v>
      </c>
      <c r="AN29">
        <v>2018</v>
      </c>
      <c r="AO29" t="s">
        <v>59</v>
      </c>
      <c r="AP29">
        <v>-8.5563410842011498E-3</v>
      </c>
      <c r="AQ29">
        <v>-45703567.556144178</v>
      </c>
      <c r="AR29">
        <v>298709567.55614418</v>
      </c>
    </row>
    <row r="30" spans="1:44" x14ac:dyDescent="0.25">
      <c r="A30" s="1">
        <v>603</v>
      </c>
      <c r="B30">
        <v>431</v>
      </c>
      <c r="C30">
        <v>431</v>
      </c>
      <c r="D30">
        <v>431</v>
      </c>
      <c r="E30">
        <v>2220</v>
      </c>
      <c r="F30" t="s">
        <v>91</v>
      </c>
      <c r="G30" s="2">
        <v>43100</v>
      </c>
      <c r="H30" t="s">
        <v>92</v>
      </c>
      <c r="I30" t="s">
        <v>93</v>
      </c>
      <c r="J30" t="s">
        <v>46</v>
      </c>
      <c r="K30">
        <v>279999000</v>
      </c>
      <c r="L30">
        <v>192093000</v>
      </c>
      <c r="M30">
        <v>1966786000</v>
      </c>
      <c r="N30">
        <v>9.7668480454914774E-2</v>
      </c>
      <c r="O30">
        <v>3.4609474333013653E-2</v>
      </c>
      <c r="P30">
        <v>5550301000</v>
      </c>
      <c r="Q30">
        <v>2017</v>
      </c>
      <c r="R30">
        <v>0</v>
      </c>
      <c r="S30">
        <v>0</v>
      </c>
      <c r="T30" t="s">
        <v>94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</v>
      </c>
      <c r="AJ30">
        <v>1</v>
      </c>
      <c r="AK30">
        <v>5930517636.3636303</v>
      </c>
      <c r="AL30">
        <v>10</v>
      </c>
      <c r="AM30">
        <v>1</v>
      </c>
      <c r="AN30">
        <v>2017</v>
      </c>
      <c r="AO30" t="s">
        <v>59</v>
      </c>
      <c r="AP30">
        <v>-8.5563410842011498E-3</v>
      </c>
      <c r="AQ30">
        <v>-47490268.475982733</v>
      </c>
      <c r="AR30">
        <v>327489268.47598273</v>
      </c>
    </row>
    <row r="31" spans="1:44" x14ac:dyDescent="0.25">
      <c r="A31" s="1">
        <v>2265</v>
      </c>
      <c r="B31">
        <v>432</v>
      </c>
      <c r="C31">
        <v>432</v>
      </c>
      <c r="D31">
        <v>432</v>
      </c>
      <c r="E31">
        <v>2221</v>
      </c>
      <c r="F31" t="s">
        <v>91</v>
      </c>
      <c r="G31" s="2">
        <v>42735</v>
      </c>
      <c r="H31" t="s">
        <v>92</v>
      </c>
      <c r="I31" t="s">
        <v>93</v>
      </c>
      <c r="J31" t="s">
        <v>46</v>
      </c>
      <c r="K31">
        <v>148005000</v>
      </c>
      <c r="L31">
        <v>98702000</v>
      </c>
      <c r="M31">
        <v>1900289000</v>
      </c>
      <c r="N31">
        <v>5.194052062607319E-2</v>
      </c>
      <c r="O31">
        <v>1.753037693454091E-2</v>
      </c>
      <c r="P31">
        <v>5630341000</v>
      </c>
      <c r="Q31">
        <v>2016</v>
      </c>
      <c r="R31">
        <v>0</v>
      </c>
      <c r="S31">
        <v>0</v>
      </c>
      <c r="T31" t="s">
        <v>94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1</v>
      </c>
      <c r="AK31">
        <v>5930517636.3636303</v>
      </c>
      <c r="AL31">
        <v>10</v>
      </c>
      <c r="AM31">
        <v>1</v>
      </c>
      <c r="AN31">
        <v>2016</v>
      </c>
      <c r="AO31" t="s">
        <v>62</v>
      </c>
      <c r="AP31">
        <v>1.8725788236665511E-4</v>
      </c>
      <c r="AQ31">
        <v>1054325.732662156</v>
      </c>
      <c r="AR31">
        <v>146950674.26733789</v>
      </c>
    </row>
    <row r="32" spans="1:44" x14ac:dyDescent="0.25">
      <c r="A32" s="1">
        <v>2266</v>
      </c>
      <c r="B32">
        <v>433</v>
      </c>
      <c r="C32">
        <v>433</v>
      </c>
      <c r="D32">
        <v>433</v>
      </c>
      <c r="E32">
        <v>2222</v>
      </c>
      <c r="F32" t="s">
        <v>91</v>
      </c>
      <c r="G32" s="2">
        <v>42369</v>
      </c>
      <c r="H32" t="s">
        <v>92</v>
      </c>
      <c r="I32" t="s">
        <v>93</v>
      </c>
      <c r="J32" t="s">
        <v>46</v>
      </c>
      <c r="K32">
        <v>26856000</v>
      </c>
      <c r="L32">
        <v>12063000</v>
      </c>
      <c r="M32">
        <v>1851191000</v>
      </c>
      <c r="N32">
        <v>6.5163454230276613E-3</v>
      </c>
      <c r="O32">
        <v>2.1131494019224878E-3</v>
      </c>
      <c r="P32">
        <v>5708541000</v>
      </c>
      <c r="Q32">
        <v>2015</v>
      </c>
      <c r="R32">
        <v>0</v>
      </c>
      <c r="S32">
        <v>0</v>
      </c>
      <c r="T32" t="s">
        <v>94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</v>
      </c>
      <c r="AJ32">
        <v>1</v>
      </c>
      <c r="AK32">
        <v>5930517636.3636303</v>
      </c>
      <c r="AL32">
        <v>10</v>
      </c>
      <c r="AM32">
        <v>1</v>
      </c>
      <c r="AN32">
        <v>2015</v>
      </c>
      <c r="AO32" t="s">
        <v>62</v>
      </c>
      <c r="AP32">
        <v>1.8725788236665511E-4</v>
      </c>
      <c r="AQ32">
        <v>1068969.2990632281</v>
      </c>
      <c r="AR32">
        <v>25787030.700936768</v>
      </c>
    </row>
    <row r="33" spans="1:44" x14ac:dyDescent="0.25">
      <c r="A33" s="1">
        <v>2267</v>
      </c>
      <c r="B33">
        <v>434</v>
      </c>
      <c r="C33">
        <v>434</v>
      </c>
      <c r="D33">
        <v>434</v>
      </c>
      <c r="E33">
        <v>2223</v>
      </c>
      <c r="F33" t="s">
        <v>91</v>
      </c>
      <c r="G33" s="2">
        <v>42004</v>
      </c>
      <c r="H33" t="s">
        <v>92</v>
      </c>
      <c r="I33" t="s">
        <v>93</v>
      </c>
      <c r="J33" t="s">
        <v>46</v>
      </c>
      <c r="K33">
        <v>106023000</v>
      </c>
      <c r="L33">
        <v>84708000</v>
      </c>
      <c r="M33">
        <v>1853314000</v>
      </c>
      <c r="N33">
        <v>4.5706232187314177E-2</v>
      </c>
      <c r="O33">
        <v>1.4744629553976169E-2</v>
      </c>
      <c r="P33">
        <v>5745007000</v>
      </c>
      <c r="Q33">
        <v>2014</v>
      </c>
      <c r="R33">
        <v>0</v>
      </c>
      <c r="S33">
        <v>0</v>
      </c>
      <c r="T33" t="s">
        <v>94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1</v>
      </c>
      <c r="AK33">
        <v>5930517636.3636303</v>
      </c>
      <c r="AL33">
        <v>10</v>
      </c>
      <c r="AM33">
        <v>1</v>
      </c>
      <c r="AN33">
        <v>2014</v>
      </c>
      <c r="AO33" t="s">
        <v>62</v>
      </c>
      <c r="AP33">
        <v>1.8725788236665511E-4</v>
      </c>
      <c r="AQ33">
        <v>1075797.84500161</v>
      </c>
      <c r="AR33">
        <v>104947202.15499841</v>
      </c>
    </row>
    <row r="34" spans="1:44" x14ac:dyDescent="0.25">
      <c r="A34" s="1">
        <v>2268</v>
      </c>
      <c r="B34">
        <v>435</v>
      </c>
      <c r="C34">
        <v>435</v>
      </c>
      <c r="D34">
        <v>435</v>
      </c>
      <c r="E34">
        <v>2224</v>
      </c>
      <c r="F34" t="s">
        <v>91</v>
      </c>
      <c r="G34" s="2">
        <v>41639</v>
      </c>
      <c r="H34" t="s">
        <v>92</v>
      </c>
      <c r="I34" t="s">
        <v>93</v>
      </c>
      <c r="J34" t="s">
        <v>46</v>
      </c>
      <c r="K34">
        <v>405435000</v>
      </c>
      <c r="L34">
        <v>282238000</v>
      </c>
      <c r="M34">
        <v>1922931000</v>
      </c>
      <c r="N34">
        <v>0.14677489727920551</v>
      </c>
      <c r="O34">
        <v>4.9589457386569287E-2</v>
      </c>
      <c r="P34">
        <v>5691492000</v>
      </c>
      <c r="Q34">
        <v>2013</v>
      </c>
      <c r="R34">
        <v>0</v>
      </c>
      <c r="S34">
        <v>0</v>
      </c>
      <c r="T34" t="s">
        <v>94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1</v>
      </c>
      <c r="AJ34">
        <v>1</v>
      </c>
      <c r="AK34">
        <v>5930517636.3636303</v>
      </c>
      <c r="AL34">
        <v>10</v>
      </c>
      <c r="AM34">
        <v>1</v>
      </c>
      <c r="AN34">
        <v>2013</v>
      </c>
      <c r="AO34" t="s">
        <v>62</v>
      </c>
      <c r="AP34">
        <v>1.8725788236665511E-4</v>
      </c>
      <c r="AQ34">
        <v>1065776.7394267591</v>
      </c>
      <c r="AR34">
        <v>404369223.26057333</v>
      </c>
    </row>
    <row r="35" spans="1:44" x14ac:dyDescent="0.25">
      <c r="A35" s="1">
        <v>695</v>
      </c>
      <c r="B35">
        <v>494</v>
      </c>
      <c r="C35">
        <v>494</v>
      </c>
      <c r="D35">
        <v>494</v>
      </c>
      <c r="E35">
        <v>5488</v>
      </c>
      <c r="F35">
        <v>4296456769</v>
      </c>
      <c r="G35" s="2">
        <v>45291</v>
      </c>
      <c r="H35" t="s">
        <v>99</v>
      </c>
      <c r="I35" t="s">
        <v>100</v>
      </c>
      <c r="J35" t="s">
        <v>46</v>
      </c>
      <c r="K35">
        <v>-393.529</v>
      </c>
      <c r="L35">
        <v>-366.23599999999999</v>
      </c>
      <c r="M35">
        <v>8002.4459999999999</v>
      </c>
      <c r="N35">
        <v>-4.5765507196174768E-2</v>
      </c>
      <c r="O35">
        <v>-2.04482722964201E-2</v>
      </c>
      <c r="P35">
        <v>17910.364000000001</v>
      </c>
      <c r="Q35">
        <v>2023</v>
      </c>
      <c r="R35">
        <v>0</v>
      </c>
      <c r="S35">
        <v>0</v>
      </c>
      <c r="T35">
        <v>4296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4</v>
      </c>
      <c r="AJ35">
        <v>1</v>
      </c>
      <c r="AK35">
        <v>15377.576727272701</v>
      </c>
      <c r="AL35">
        <v>5</v>
      </c>
      <c r="AM35">
        <v>1</v>
      </c>
      <c r="AN35">
        <v>2023</v>
      </c>
      <c r="AO35" t="s">
        <v>48</v>
      </c>
      <c r="AP35">
        <v>3.4062668681992411E-2</v>
      </c>
      <c r="AQ35">
        <v>610.07479490588435</v>
      </c>
      <c r="AR35">
        <v>-1003.603794905884</v>
      </c>
    </row>
    <row r="36" spans="1:44" x14ac:dyDescent="0.25">
      <c r="A36" s="1">
        <v>696</v>
      </c>
      <c r="B36">
        <v>495</v>
      </c>
      <c r="C36">
        <v>495</v>
      </c>
      <c r="D36">
        <v>495</v>
      </c>
      <c r="E36">
        <v>5489</v>
      </c>
      <c r="F36">
        <v>4296456769</v>
      </c>
      <c r="G36" s="2">
        <v>44926</v>
      </c>
      <c r="H36" t="s">
        <v>99</v>
      </c>
      <c r="I36" t="s">
        <v>100</v>
      </c>
      <c r="J36" t="s">
        <v>46</v>
      </c>
      <c r="K36">
        <v>812.66300000000001</v>
      </c>
      <c r="L36">
        <v>670.54200000000003</v>
      </c>
      <c r="M36">
        <v>8254.7950000000001</v>
      </c>
      <c r="N36">
        <v>8.1230605969015587E-2</v>
      </c>
      <c r="O36">
        <v>3.903013880937186E-2</v>
      </c>
      <c r="P36">
        <v>17180.108</v>
      </c>
      <c r="Q36">
        <v>2022</v>
      </c>
      <c r="R36">
        <v>0</v>
      </c>
      <c r="S36">
        <v>0</v>
      </c>
      <c r="T36">
        <v>4296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4</v>
      </c>
      <c r="AJ36">
        <v>1</v>
      </c>
      <c r="AK36">
        <v>15377.576727272701</v>
      </c>
      <c r="AL36">
        <v>5</v>
      </c>
      <c r="AM36">
        <v>1</v>
      </c>
      <c r="AN36">
        <v>2022</v>
      </c>
      <c r="AO36" t="s">
        <v>48</v>
      </c>
      <c r="AP36">
        <v>3.4062668681992411E-2</v>
      </c>
      <c r="AQ36">
        <v>585.20032672484729</v>
      </c>
      <c r="AR36">
        <v>227.4626732751527</v>
      </c>
    </row>
    <row r="37" spans="1:44" x14ac:dyDescent="0.25">
      <c r="A37" s="1">
        <v>697</v>
      </c>
      <c r="B37">
        <v>496</v>
      </c>
      <c r="C37">
        <v>496</v>
      </c>
      <c r="D37">
        <v>496</v>
      </c>
      <c r="E37">
        <v>5490</v>
      </c>
      <c r="F37">
        <v>4296456769</v>
      </c>
      <c r="G37" s="2">
        <v>44561</v>
      </c>
      <c r="H37" t="s">
        <v>99</v>
      </c>
      <c r="I37" t="s">
        <v>100</v>
      </c>
      <c r="J37" t="s">
        <v>46</v>
      </c>
      <c r="K37">
        <v>1403.127</v>
      </c>
      <c r="L37">
        <v>1000.213</v>
      </c>
      <c r="M37">
        <v>7810.7330000000002</v>
      </c>
      <c r="N37">
        <v>0.1280562272452534</v>
      </c>
      <c r="O37">
        <v>6.0006859723219702E-2</v>
      </c>
      <c r="P37">
        <v>16668.311000000002</v>
      </c>
      <c r="Q37">
        <v>2021</v>
      </c>
      <c r="R37">
        <v>0</v>
      </c>
      <c r="S37">
        <v>0</v>
      </c>
      <c r="T37">
        <v>4296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4</v>
      </c>
      <c r="AJ37">
        <v>1</v>
      </c>
      <c r="AK37">
        <v>15377.576727272701</v>
      </c>
      <c r="AL37">
        <v>5</v>
      </c>
      <c r="AM37">
        <v>1</v>
      </c>
      <c r="AN37">
        <v>2021</v>
      </c>
      <c r="AO37" t="s">
        <v>48</v>
      </c>
      <c r="AP37">
        <v>3.4062668681992411E-2</v>
      </c>
      <c r="AQ37">
        <v>567.76715508140967</v>
      </c>
      <c r="AR37">
        <v>835.35984491859028</v>
      </c>
    </row>
    <row r="38" spans="1:44" x14ac:dyDescent="0.25">
      <c r="A38" s="1">
        <v>698</v>
      </c>
      <c r="B38">
        <v>497</v>
      </c>
      <c r="C38">
        <v>497</v>
      </c>
      <c r="D38">
        <v>497</v>
      </c>
      <c r="E38">
        <v>5491</v>
      </c>
      <c r="F38">
        <v>4296456769</v>
      </c>
      <c r="G38" s="2">
        <v>44196</v>
      </c>
      <c r="H38" t="s">
        <v>99</v>
      </c>
      <c r="I38" t="s">
        <v>100</v>
      </c>
      <c r="J38" t="s">
        <v>46</v>
      </c>
      <c r="K38">
        <v>64.835999999999999</v>
      </c>
      <c r="L38">
        <v>22.988</v>
      </c>
      <c r="M38">
        <v>7384.7219999999998</v>
      </c>
      <c r="N38">
        <v>3.1129133906462559E-3</v>
      </c>
      <c r="O38">
        <v>1.4342115352208799E-3</v>
      </c>
      <c r="P38">
        <v>16028.319</v>
      </c>
      <c r="Q38">
        <v>2020</v>
      </c>
      <c r="R38">
        <v>0</v>
      </c>
      <c r="S38">
        <v>0</v>
      </c>
      <c r="T38">
        <v>4296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4</v>
      </c>
      <c r="AJ38">
        <v>1</v>
      </c>
      <c r="AK38">
        <v>15377.576727272701</v>
      </c>
      <c r="AL38">
        <v>5</v>
      </c>
      <c r="AM38">
        <v>1</v>
      </c>
      <c r="AN38">
        <v>2020</v>
      </c>
      <c r="AO38" t="s">
        <v>48</v>
      </c>
      <c r="AP38">
        <v>3.4062668681992411E-2</v>
      </c>
      <c r="AQ38">
        <v>545.96731962628394</v>
      </c>
      <c r="AR38">
        <v>-481.13131962628393</v>
      </c>
    </row>
    <row r="39" spans="1:44" x14ac:dyDescent="0.25">
      <c r="A39" s="1">
        <v>957</v>
      </c>
      <c r="B39">
        <v>498</v>
      </c>
      <c r="C39">
        <v>498</v>
      </c>
      <c r="D39">
        <v>498</v>
      </c>
      <c r="E39">
        <v>5492</v>
      </c>
      <c r="F39">
        <v>4296456769</v>
      </c>
      <c r="G39" s="2">
        <v>43830</v>
      </c>
      <c r="H39" t="s">
        <v>99</v>
      </c>
      <c r="I39" t="s">
        <v>100</v>
      </c>
      <c r="J39" t="s">
        <v>46</v>
      </c>
      <c r="K39">
        <v>54.73</v>
      </c>
      <c r="L39">
        <v>54.195</v>
      </c>
      <c r="M39">
        <v>7334.4040000000005</v>
      </c>
      <c r="N39">
        <v>7.3891484570525424E-3</v>
      </c>
      <c r="O39">
        <v>3.4170805477669341E-3</v>
      </c>
      <c r="P39">
        <v>15860.03</v>
      </c>
      <c r="Q39">
        <v>2019</v>
      </c>
      <c r="R39">
        <v>0</v>
      </c>
      <c r="S39">
        <v>0</v>
      </c>
      <c r="T39">
        <v>4296</v>
      </c>
      <c r="U39">
        <v>0</v>
      </c>
      <c r="V39">
        <v>500000000</v>
      </c>
      <c r="W39">
        <v>0</v>
      </c>
      <c r="X39">
        <v>1500000000</v>
      </c>
      <c r="Y39" t="s">
        <v>129</v>
      </c>
      <c r="Z39">
        <v>0</v>
      </c>
      <c r="AA39">
        <v>1</v>
      </c>
      <c r="AB39">
        <v>1</v>
      </c>
      <c r="AC39">
        <v>0</v>
      </c>
      <c r="AD39">
        <v>1</v>
      </c>
      <c r="AE39" t="s">
        <v>130</v>
      </c>
      <c r="AF39">
        <v>0</v>
      </c>
      <c r="AG39">
        <v>0</v>
      </c>
      <c r="AH39">
        <v>0</v>
      </c>
      <c r="AI39">
        <v>4</v>
      </c>
      <c r="AJ39">
        <v>1</v>
      </c>
      <c r="AK39">
        <v>15377.576727272701</v>
      </c>
      <c r="AL39">
        <v>5</v>
      </c>
      <c r="AM39">
        <v>1</v>
      </c>
      <c r="AN39">
        <v>2019</v>
      </c>
      <c r="AO39" t="s">
        <v>59</v>
      </c>
      <c r="AP39">
        <v>3.5092427195981053E-2</v>
      </c>
      <c r="AQ39">
        <v>556.56694810107535</v>
      </c>
      <c r="AR39">
        <v>-501.83694810107528</v>
      </c>
    </row>
    <row r="40" spans="1:44" x14ac:dyDescent="0.25">
      <c r="A40" s="1">
        <v>958</v>
      </c>
      <c r="B40">
        <v>499</v>
      </c>
      <c r="C40">
        <v>499</v>
      </c>
      <c r="D40">
        <v>499</v>
      </c>
      <c r="E40">
        <v>5493</v>
      </c>
      <c r="F40">
        <v>4296456769</v>
      </c>
      <c r="G40" s="2">
        <v>43465</v>
      </c>
      <c r="H40" t="s">
        <v>99</v>
      </c>
      <c r="I40" t="s">
        <v>100</v>
      </c>
      <c r="J40" t="s">
        <v>46</v>
      </c>
      <c r="K40">
        <v>936.27800000000002</v>
      </c>
      <c r="L40">
        <v>709.51300000000003</v>
      </c>
      <c r="M40">
        <v>7301.7790000000005</v>
      </c>
      <c r="N40">
        <v>9.7169881476829145E-2</v>
      </c>
      <c r="O40">
        <v>4.8617599810549007E-2</v>
      </c>
      <c r="P40">
        <v>14593.748</v>
      </c>
      <c r="Q40">
        <v>2018</v>
      </c>
      <c r="R40">
        <v>0</v>
      </c>
      <c r="S40">
        <v>0</v>
      </c>
      <c r="T40">
        <v>4296</v>
      </c>
      <c r="U40">
        <v>0</v>
      </c>
      <c r="V40">
        <v>0</v>
      </c>
      <c r="W40">
        <v>0</v>
      </c>
      <c r="X40">
        <v>845215000</v>
      </c>
      <c r="Y40" t="s">
        <v>129</v>
      </c>
      <c r="Z40">
        <v>0</v>
      </c>
      <c r="AA40">
        <v>1</v>
      </c>
      <c r="AB40">
        <v>0</v>
      </c>
      <c r="AC40">
        <v>0</v>
      </c>
      <c r="AD40">
        <v>1</v>
      </c>
      <c r="AE40" t="s">
        <v>130</v>
      </c>
      <c r="AF40">
        <v>0</v>
      </c>
      <c r="AG40">
        <v>0</v>
      </c>
      <c r="AH40">
        <v>0</v>
      </c>
      <c r="AI40">
        <v>4</v>
      </c>
      <c r="AJ40">
        <v>1</v>
      </c>
      <c r="AK40">
        <v>15377.576727272701</v>
      </c>
      <c r="AL40">
        <v>5</v>
      </c>
      <c r="AM40">
        <v>1</v>
      </c>
      <c r="AN40">
        <v>2018</v>
      </c>
      <c r="AO40" t="s">
        <v>59</v>
      </c>
      <c r="AP40">
        <v>3.5092427195981053E-2</v>
      </c>
      <c r="AQ40">
        <v>512.13003920649408</v>
      </c>
      <c r="AR40">
        <v>424.14796079350589</v>
      </c>
    </row>
    <row r="41" spans="1:44" x14ac:dyDescent="0.25">
      <c r="A41" s="1">
        <v>959</v>
      </c>
      <c r="B41">
        <v>500</v>
      </c>
      <c r="C41">
        <v>500</v>
      </c>
      <c r="D41">
        <v>500</v>
      </c>
      <c r="E41">
        <v>5494</v>
      </c>
      <c r="F41">
        <v>4296456769</v>
      </c>
      <c r="G41" s="2">
        <v>43100</v>
      </c>
      <c r="H41" t="s">
        <v>99</v>
      </c>
      <c r="I41" t="s">
        <v>100</v>
      </c>
      <c r="J41" t="s">
        <v>46</v>
      </c>
      <c r="K41">
        <v>222.34299999999999</v>
      </c>
      <c r="L41">
        <v>253.33500000000001</v>
      </c>
      <c r="M41">
        <v>7074.973</v>
      </c>
      <c r="N41">
        <v>3.5807203787208801E-2</v>
      </c>
      <c r="O41">
        <v>1.8102339473797031E-2</v>
      </c>
      <c r="P41">
        <v>13994.6</v>
      </c>
      <c r="Q41">
        <v>2017</v>
      </c>
      <c r="R41">
        <v>0</v>
      </c>
      <c r="S41">
        <v>0</v>
      </c>
      <c r="T41">
        <v>4296</v>
      </c>
      <c r="U41">
        <v>0</v>
      </c>
      <c r="V41">
        <v>0</v>
      </c>
      <c r="W41">
        <v>0</v>
      </c>
      <c r="X41">
        <v>900000000</v>
      </c>
      <c r="Y41" t="s">
        <v>129</v>
      </c>
      <c r="Z41">
        <v>0</v>
      </c>
      <c r="AA41">
        <v>1</v>
      </c>
      <c r="AB41">
        <v>0</v>
      </c>
      <c r="AC41">
        <v>0</v>
      </c>
      <c r="AD41">
        <v>1</v>
      </c>
      <c r="AE41" t="s">
        <v>130</v>
      </c>
      <c r="AF41">
        <v>0</v>
      </c>
      <c r="AG41">
        <v>0</v>
      </c>
      <c r="AH41">
        <v>0</v>
      </c>
      <c r="AI41">
        <v>4</v>
      </c>
      <c r="AJ41">
        <v>1</v>
      </c>
      <c r="AK41">
        <v>15377.576727272701</v>
      </c>
      <c r="AL41">
        <v>5</v>
      </c>
      <c r="AM41">
        <v>1</v>
      </c>
      <c r="AN41">
        <v>2017</v>
      </c>
      <c r="AO41" t="s">
        <v>59</v>
      </c>
      <c r="AP41">
        <v>3.5092427195981053E-2</v>
      </c>
      <c r="AQ41">
        <v>491.10448163687653</v>
      </c>
      <c r="AR41">
        <v>-268.76148163687651</v>
      </c>
    </row>
    <row r="42" spans="1:44" x14ac:dyDescent="0.25">
      <c r="A42" s="1">
        <v>1167</v>
      </c>
      <c r="B42">
        <v>501</v>
      </c>
      <c r="C42">
        <v>501</v>
      </c>
      <c r="D42">
        <v>501</v>
      </c>
      <c r="E42">
        <v>5495</v>
      </c>
      <c r="F42">
        <v>4296456769</v>
      </c>
      <c r="G42" s="2">
        <v>42735</v>
      </c>
      <c r="H42" t="s">
        <v>99</v>
      </c>
      <c r="I42" t="s">
        <v>100</v>
      </c>
      <c r="J42" t="s">
        <v>46</v>
      </c>
      <c r="K42">
        <v>239.285</v>
      </c>
      <c r="L42">
        <v>193.63800000000001</v>
      </c>
      <c r="M42">
        <v>6955.2510000000002</v>
      </c>
      <c r="N42">
        <v>2.78405480981204E-2</v>
      </c>
      <c r="O42">
        <v>1.382518189647842E-2</v>
      </c>
      <c r="P42">
        <v>14006.181</v>
      </c>
      <c r="Q42">
        <v>2016</v>
      </c>
      <c r="R42">
        <v>0</v>
      </c>
      <c r="S42">
        <v>0</v>
      </c>
      <c r="T42">
        <v>4296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4</v>
      </c>
      <c r="AJ42">
        <v>1</v>
      </c>
      <c r="AK42">
        <v>15377.576727272701</v>
      </c>
      <c r="AL42">
        <v>5</v>
      </c>
      <c r="AM42">
        <v>1</v>
      </c>
      <c r="AN42">
        <v>2016</v>
      </c>
      <c r="AO42" t="s">
        <v>62</v>
      </c>
      <c r="AP42">
        <v>3.5494312143141332E-2</v>
      </c>
      <c r="AQ42">
        <v>497.13976034733543</v>
      </c>
      <c r="AR42">
        <v>-257.8547603473354</v>
      </c>
    </row>
    <row r="43" spans="1:44" x14ac:dyDescent="0.25">
      <c r="A43" s="1">
        <v>1168</v>
      </c>
      <c r="B43">
        <v>502</v>
      </c>
      <c r="C43">
        <v>502</v>
      </c>
      <c r="D43">
        <v>502</v>
      </c>
      <c r="E43">
        <v>5496</v>
      </c>
      <c r="F43">
        <v>4296456769</v>
      </c>
      <c r="G43" s="2">
        <v>42369</v>
      </c>
      <c r="H43" t="s">
        <v>99</v>
      </c>
      <c r="I43" t="s">
        <v>100</v>
      </c>
      <c r="J43" t="s">
        <v>46</v>
      </c>
      <c r="K43">
        <v>490.65699999999998</v>
      </c>
      <c r="L43">
        <v>360.96300000000002</v>
      </c>
      <c r="M43">
        <v>6608.71</v>
      </c>
      <c r="N43">
        <v>5.4619282734451963E-2</v>
      </c>
      <c r="O43">
        <v>2.6404731218002471E-2</v>
      </c>
      <c r="P43">
        <v>13670.391</v>
      </c>
      <c r="Q43">
        <v>2015</v>
      </c>
      <c r="R43">
        <v>0</v>
      </c>
      <c r="S43">
        <v>0</v>
      </c>
      <c r="T43">
        <v>4296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4</v>
      </c>
      <c r="AJ43">
        <v>1</v>
      </c>
      <c r="AK43">
        <v>15377.576727272701</v>
      </c>
      <c r="AL43">
        <v>5</v>
      </c>
      <c r="AM43">
        <v>1</v>
      </c>
      <c r="AN43">
        <v>2015</v>
      </c>
      <c r="AO43" t="s">
        <v>62</v>
      </c>
      <c r="AP43">
        <v>3.5494312143141332E-2</v>
      </c>
      <c r="AQ43">
        <v>485.22112527278989</v>
      </c>
      <c r="AR43">
        <v>5.4358747272100354</v>
      </c>
    </row>
    <row r="44" spans="1:44" x14ac:dyDescent="0.25">
      <c r="A44" s="1">
        <v>1169</v>
      </c>
      <c r="B44">
        <v>503</v>
      </c>
      <c r="C44">
        <v>503</v>
      </c>
      <c r="D44">
        <v>503</v>
      </c>
      <c r="E44">
        <v>5497</v>
      </c>
      <c r="F44">
        <v>4296456769</v>
      </c>
      <c r="G44" s="2">
        <v>42004</v>
      </c>
      <c r="H44" t="s">
        <v>99</v>
      </c>
      <c r="I44" t="s">
        <v>100</v>
      </c>
      <c r="J44" t="s">
        <v>46</v>
      </c>
      <c r="K44">
        <v>585.34400000000005</v>
      </c>
      <c r="L44">
        <v>429.40899999999999</v>
      </c>
      <c r="M44">
        <v>6767.13</v>
      </c>
      <c r="N44">
        <v>6.345511317205374E-2</v>
      </c>
      <c r="O44">
        <v>2.911662591622385E-2</v>
      </c>
      <c r="P44">
        <v>14747.897000000001</v>
      </c>
      <c r="Q44">
        <v>2014</v>
      </c>
      <c r="R44">
        <v>0</v>
      </c>
      <c r="S44">
        <v>0</v>
      </c>
      <c r="T44">
        <v>4296</v>
      </c>
      <c r="U44">
        <v>0</v>
      </c>
      <c r="V44">
        <v>0</v>
      </c>
      <c r="W44">
        <v>0</v>
      </c>
      <c r="X44">
        <v>500000000</v>
      </c>
      <c r="Y44" t="s">
        <v>129</v>
      </c>
      <c r="Z44">
        <v>0</v>
      </c>
      <c r="AA44">
        <v>1</v>
      </c>
      <c r="AB44">
        <v>0</v>
      </c>
      <c r="AC44">
        <v>0</v>
      </c>
      <c r="AD44">
        <v>1</v>
      </c>
      <c r="AE44" t="s">
        <v>130</v>
      </c>
      <c r="AF44">
        <v>0</v>
      </c>
      <c r="AG44">
        <v>0</v>
      </c>
      <c r="AH44">
        <v>0</v>
      </c>
      <c r="AI44">
        <v>4</v>
      </c>
      <c r="AJ44">
        <v>1</v>
      </c>
      <c r="AK44">
        <v>15377.576727272701</v>
      </c>
      <c r="AL44">
        <v>5</v>
      </c>
      <c r="AM44">
        <v>1</v>
      </c>
      <c r="AN44">
        <v>2014</v>
      </c>
      <c r="AO44" t="s">
        <v>62</v>
      </c>
      <c r="AP44">
        <v>3.5494312143141332E-2</v>
      </c>
      <c r="AQ44">
        <v>523.46645957289763</v>
      </c>
      <c r="AR44">
        <v>61.877540427102417</v>
      </c>
    </row>
    <row r="45" spans="1:44" x14ac:dyDescent="0.25">
      <c r="A45" s="1">
        <v>1170</v>
      </c>
      <c r="B45">
        <v>504</v>
      </c>
      <c r="C45">
        <v>504</v>
      </c>
      <c r="D45">
        <v>504</v>
      </c>
      <c r="E45">
        <v>5498</v>
      </c>
      <c r="F45">
        <v>4296456769</v>
      </c>
      <c r="G45" s="2">
        <v>41639</v>
      </c>
      <c r="H45" t="s">
        <v>99</v>
      </c>
      <c r="I45" t="s">
        <v>100</v>
      </c>
      <c r="J45" t="s">
        <v>46</v>
      </c>
      <c r="K45">
        <v>542.67399999999998</v>
      </c>
      <c r="L45">
        <v>412.31700000000001</v>
      </c>
      <c r="M45">
        <v>6992.2979999999998</v>
      </c>
      <c r="N45">
        <v>5.896730945963688E-2</v>
      </c>
      <c r="O45">
        <v>2.8448614006587141E-2</v>
      </c>
      <c r="P45">
        <v>14493.395</v>
      </c>
      <c r="Q45">
        <v>2013</v>
      </c>
      <c r="R45">
        <v>0</v>
      </c>
      <c r="S45">
        <v>0</v>
      </c>
      <c r="T45">
        <v>4296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4</v>
      </c>
      <c r="AJ45">
        <v>1</v>
      </c>
      <c r="AK45">
        <v>15377.576727272701</v>
      </c>
      <c r="AL45">
        <v>5</v>
      </c>
      <c r="AM45">
        <v>1</v>
      </c>
      <c r="AN45">
        <v>2013</v>
      </c>
      <c r="AO45" t="s">
        <v>62</v>
      </c>
      <c r="AP45">
        <v>3.5494312143141332E-2</v>
      </c>
      <c r="AQ45">
        <v>514.43308614384387</v>
      </c>
      <c r="AR45">
        <v>28.240913856156109</v>
      </c>
    </row>
    <row r="46" spans="1:44" x14ac:dyDescent="0.25">
      <c r="A46" s="1">
        <v>4</v>
      </c>
      <c r="B46">
        <v>538</v>
      </c>
      <c r="C46">
        <v>538</v>
      </c>
      <c r="D46">
        <v>538</v>
      </c>
      <c r="E46">
        <v>459</v>
      </c>
      <c r="F46" t="s">
        <v>43</v>
      </c>
      <c r="G46" s="2">
        <v>45291</v>
      </c>
      <c r="H46" t="s">
        <v>44</v>
      </c>
      <c r="I46" t="s">
        <v>45</v>
      </c>
      <c r="J46" t="s">
        <v>46</v>
      </c>
      <c r="K46">
        <v>583007643.82565999</v>
      </c>
      <c r="L46">
        <v>331841046.81005698</v>
      </c>
      <c r="M46">
        <v>4168402435.8945198</v>
      </c>
      <c r="N46">
        <v>7.9608687480014262E-2</v>
      </c>
      <c r="O46">
        <v>2.1528766750293939E-2</v>
      </c>
      <c r="P46">
        <v>15413843749.5741</v>
      </c>
      <c r="Q46">
        <v>2023</v>
      </c>
      <c r="R46">
        <v>0</v>
      </c>
      <c r="S46">
        <v>0</v>
      </c>
      <c r="T46" t="s">
        <v>47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2</v>
      </c>
      <c r="AJ46">
        <v>1</v>
      </c>
      <c r="AK46">
        <v>15871693999.004999</v>
      </c>
      <c r="AL46">
        <v>10</v>
      </c>
      <c r="AM46">
        <v>1</v>
      </c>
      <c r="AN46">
        <v>2023</v>
      </c>
      <c r="AO46" t="s">
        <v>48</v>
      </c>
      <c r="AP46">
        <v>2.639308490294508E-2</v>
      </c>
      <c r="AQ46">
        <v>406818886.76323861</v>
      </c>
      <c r="AR46">
        <v>176188757.06242141</v>
      </c>
    </row>
    <row r="47" spans="1:44" x14ac:dyDescent="0.25">
      <c r="A47" s="1">
        <v>5</v>
      </c>
      <c r="B47">
        <v>539</v>
      </c>
      <c r="C47">
        <v>539</v>
      </c>
      <c r="D47">
        <v>539</v>
      </c>
      <c r="E47">
        <v>460</v>
      </c>
      <c r="F47" t="s">
        <v>43</v>
      </c>
      <c r="G47" s="2">
        <v>44926</v>
      </c>
      <c r="H47" t="s">
        <v>44</v>
      </c>
      <c r="I47" t="s">
        <v>45</v>
      </c>
      <c r="J47" t="s">
        <v>46</v>
      </c>
      <c r="K47">
        <v>757175537.86270297</v>
      </c>
      <c r="L47">
        <v>477409943.382873</v>
      </c>
      <c r="M47">
        <v>4329809219.1554604</v>
      </c>
      <c r="N47">
        <v>0.11026119609861081</v>
      </c>
      <c r="O47">
        <v>3.034048637510384E-2</v>
      </c>
      <c r="P47">
        <v>15735078781.552299</v>
      </c>
      <c r="Q47">
        <v>2022</v>
      </c>
      <c r="R47">
        <v>0</v>
      </c>
      <c r="S47">
        <v>0</v>
      </c>
      <c r="T47" t="s">
        <v>47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2</v>
      </c>
      <c r="AJ47">
        <v>1</v>
      </c>
      <c r="AK47">
        <v>15871693999.004999</v>
      </c>
      <c r="AL47">
        <v>10</v>
      </c>
      <c r="AM47">
        <v>1</v>
      </c>
      <c r="AN47">
        <v>2022</v>
      </c>
      <c r="AO47" t="s">
        <v>48</v>
      </c>
      <c r="AP47">
        <v>2.639308490294508E-2</v>
      </c>
      <c r="AQ47">
        <v>415297270.23603952</v>
      </c>
      <c r="AR47">
        <v>341878267.62666351</v>
      </c>
    </row>
    <row r="48" spans="1:44" x14ac:dyDescent="0.25">
      <c r="A48" s="1">
        <v>6</v>
      </c>
      <c r="B48">
        <v>540</v>
      </c>
      <c r="C48">
        <v>540</v>
      </c>
      <c r="D48">
        <v>540</v>
      </c>
      <c r="E48">
        <v>461</v>
      </c>
      <c r="F48" t="s">
        <v>43</v>
      </c>
      <c r="G48" s="2">
        <v>44561</v>
      </c>
      <c r="H48" t="s">
        <v>44</v>
      </c>
      <c r="I48" t="s">
        <v>45</v>
      </c>
      <c r="J48" t="s">
        <v>46</v>
      </c>
      <c r="K48">
        <v>888061708.37739396</v>
      </c>
      <c r="L48">
        <v>581759793.20878899</v>
      </c>
      <c r="M48">
        <v>4907134691.5756102</v>
      </c>
      <c r="N48">
        <v>0.1185538669251392</v>
      </c>
      <c r="O48">
        <v>4.1428728617469053E-2</v>
      </c>
      <c r="P48">
        <v>14042424487.1343</v>
      </c>
      <c r="Q48">
        <v>2021</v>
      </c>
      <c r="R48">
        <v>0</v>
      </c>
      <c r="S48">
        <v>0</v>
      </c>
      <c r="T48" t="s">
        <v>47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2</v>
      </c>
      <c r="AJ48">
        <v>1</v>
      </c>
      <c r="AK48">
        <v>15871693999.004999</v>
      </c>
      <c r="AL48">
        <v>10</v>
      </c>
      <c r="AM48">
        <v>1</v>
      </c>
      <c r="AN48">
        <v>2021</v>
      </c>
      <c r="AO48" t="s">
        <v>48</v>
      </c>
      <c r="AP48">
        <v>2.639308490294508E-2</v>
      </c>
      <c r="AQ48">
        <v>370622901.73213059</v>
      </c>
      <c r="AR48">
        <v>517438806.64526337</v>
      </c>
    </row>
    <row r="49" spans="1:44" x14ac:dyDescent="0.25">
      <c r="A49" s="1">
        <v>7</v>
      </c>
      <c r="B49">
        <v>541</v>
      </c>
      <c r="C49">
        <v>541</v>
      </c>
      <c r="D49">
        <v>541</v>
      </c>
      <c r="E49">
        <v>462</v>
      </c>
      <c r="F49" t="s">
        <v>43</v>
      </c>
      <c r="G49" s="2">
        <v>44196</v>
      </c>
      <c r="H49" t="s">
        <v>44</v>
      </c>
      <c r="I49" t="s">
        <v>45</v>
      </c>
      <c r="J49" t="s">
        <v>46</v>
      </c>
      <c r="K49">
        <v>285393800.63402599</v>
      </c>
      <c r="L49">
        <v>91554319.126452997</v>
      </c>
      <c r="M49">
        <v>5575673907.7139797</v>
      </c>
      <c r="N49">
        <v>1.6420314502214171E-2</v>
      </c>
      <c r="O49">
        <v>6.0487473048766172E-3</v>
      </c>
      <c r="P49">
        <v>15136079342.021799</v>
      </c>
      <c r="Q49">
        <v>2020</v>
      </c>
      <c r="R49">
        <v>0</v>
      </c>
      <c r="S49">
        <v>0</v>
      </c>
      <c r="T49" t="s">
        <v>47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2</v>
      </c>
      <c r="AJ49">
        <v>1</v>
      </c>
      <c r="AK49">
        <v>15871693999.004999</v>
      </c>
      <c r="AL49">
        <v>10</v>
      </c>
      <c r="AM49">
        <v>1</v>
      </c>
      <c r="AN49">
        <v>2020</v>
      </c>
      <c r="AO49" t="s">
        <v>48</v>
      </c>
      <c r="AP49">
        <v>2.639308490294508E-2</v>
      </c>
      <c r="AQ49">
        <v>399487827.17169452</v>
      </c>
      <c r="AR49">
        <v>-114094026.5376685</v>
      </c>
    </row>
    <row r="50" spans="1:44" x14ac:dyDescent="0.25">
      <c r="A50" s="1">
        <v>71</v>
      </c>
      <c r="B50">
        <v>542</v>
      </c>
      <c r="C50">
        <v>542</v>
      </c>
      <c r="D50">
        <v>542</v>
      </c>
      <c r="E50">
        <v>463</v>
      </c>
      <c r="F50" t="s">
        <v>43</v>
      </c>
      <c r="G50" s="2">
        <v>43830</v>
      </c>
      <c r="H50" t="s">
        <v>44</v>
      </c>
      <c r="I50" t="s">
        <v>45</v>
      </c>
      <c r="J50" t="s">
        <v>46</v>
      </c>
      <c r="K50">
        <v>438409600.79840302</v>
      </c>
      <c r="L50">
        <v>205744754.491018</v>
      </c>
      <c r="M50">
        <v>5911561407.8509703</v>
      </c>
      <c r="N50">
        <v>3.4803792144960967E-2</v>
      </c>
      <c r="O50">
        <v>1.2623554462674529E-2</v>
      </c>
      <c r="P50">
        <v>16298480360.612101</v>
      </c>
      <c r="Q50">
        <v>2019</v>
      </c>
      <c r="R50">
        <v>0</v>
      </c>
      <c r="S50">
        <v>0</v>
      </c>
      <c r="T50" t="s">
        <v>47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2</v>
      </c>
      <c r="AJ50">
        <v>1</v>
      </c>
      <c r="AK50">
        <v>15871693999.004999</v>
      </c>
      <c r="AL50">
        <v>10</v>
      </c>
      <c r="AM50">
        <v>1</v>
      </c>
      <c r="AN50">
        <v>2019</v>
      </c>
      <c r="AO50" t="s">
        <v>59</v>
      </c>
      <c r="AP50">
        <v>2.6740380212775649E-2</v>
      </c>
      <c r="AQ50">
        <v>435827561.73322439</v>
      </c>
      <c r="AR50">
        <v>2582039.0651786332</v>
      </c>
    </row>
    <row r="51" spans="1:44" x14ac:dyDescent="0.25">
      <c r="A51" s="1">
        <v>72</v>
      </c>
      <c r="B51">
        <v>543</v>
      </c>
      <c r="C51">
        <v>543</v>
      </c>
      <c r="D51">
        <v>543</v>
      </c>
      <c r="E51">
        <v>464</v>
      </c>
      <c r="F51" t="s">
        <v>43</v>
      </c>
      <c r="G51" s="2">
        <v>43465</v>
      </c>
      <c r="H51" t="s">
        <v>44</v>
      </c>
      <c r="I51" t="s">
        <v>45</v>
      </c>
      <c r="J51" t="s">
        <v>46</v>
      </c>
      <c r="K51">
        <v>401741671.35743701</v>
      </c>
      <c r="L51">
        <v>275087648.12008399</v>
      </c>
      <c r="M51">
        <v>6127595925.5250101</v>
      </c>
      <c r="N51">
        <v>4.4893242221502157E-2</v>
      </c>
      <c r="O51">
        <v>1.792194398524128E-2</v>
      </c>
      <c r="P51">
        <v>15349208118.6404</v>
      </c>
      <c r="Q51">
        <v>2018</v>
      </c>
      <c r="R51">
        <v>0</v>
      </c>
      <c r="S51">
        <v>0</v>
      </c>
      <c r="T51" t="s">
        <v>47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2</v>
      </c>
      <c r="AJ51">
        <v>1</v>
      </c>
      <c r="AK51">
        <v>15871693999.004999</v>
      </c>
      <c r="AL51">
        <v>10</v>
      </c>
      <c r="AM51">
        <v>1</v>
      </c>
      <c r="AN51">
        <v>2018</v>
      </c>
      <c r="AO51" t="s">
        <v>59</v>
      </c>
      <c r="AP51">
        <v>2.6740380212775649E-2</v>
      </c>
      <c r="AQ51">
        <v>410443661.05746722</v>
      </c>
      <c r="AR51">
        <v>-8701989.700030148</v>
      </c>
    </row>
    <row r="52" spans="1:44" x14ac:dyDescent="0.25">
      <c r="A52" s="1">
        <v>73</v>
      </c>
      <c r="B52">
        <v>544</v>
      </c>
      <c r="C52">
        <v>544</v>
      </c>
      <c r="D52">
        <v>544</v>
      </c>
      <c r="E52">
        <v>465</v>
      </c>
      <c r="F52" t="s">
        <v>43</v>
      </c>
      <c r="G52" s="2">
        <v>43100</v>
      </c>
      <c r="H52" t="s">
        <v>44</v>
      </c>
      <c r="I52" t="s">
        <v>45</v>
      </c>
      <c r="J52" t="s">
        <v>46</v>
      </c>
      <c r="K52">
        <v>1038672374.52209</v>
      </c>
      <c r="L52">
        <v>716075776.45814705</v>
      </c>
      <c r="M52">
        <v>6524283390.5474701</v>
      </c>
      <c r="N52">
        <v>0.10975546793317011</v>
      </c>
      <c r="O52">
        <v>4.390510185002313E-2</v>
      </c>
      <c r="P52">
        <v>16309625676.401199</v>
      </c>
      <c r="Q52">
        <v>2017</v>
      </c>
      <c r="R52">
        <v>0</v>
      </c>
      <c r="S52">
        <v>0</v>
      </c>
      <c r="T52" t="s">
        <v>47</v>
      </c>
      <c r="U52">
        <v>0</v>
      </c>
      <c r="V52">
        <v>0</v>
      </c>
      <c r="W52">
        <v>0</v>
      </c>
      <c r="X52">
        <v>1000000000</v>
      </c>
      <c r="Y52" t="s">
        <v>60</v>
      </c>
      <c r="Z52">
        <v>0</v>
      </c>
      <c r="AA52">
        <v>1</v>
      </c>
      <c r="AB52">
        <v>0</v>
      </c>
      <c r="AC52">
        <v>0</v>
      </c>
      <c r="AD52">
        <v>1</v>
      </c>
      <c r="AE52" t="s">
        <v>61</v>
      </c>
      <c r="AF52">
        <v>0</v>
      </c>
      <c r="AG52">
        <v>0</v>
      </c>
      <c r="AH52">
        <v>0</v>
      </c>
      <c r="AI52">
        <v>2</v>
      </c>
      <c r="AJ52">
        <v>1</v>
      </c>
      <c r="AK52">
        <v>15871693999.004999</v>
      </c>
      <c r="AL52">
        <v>10</v>
      </c>
      <c r="AM52">
        <v>1</v>
      </c>
      <c r="AN52">
        <v>2017</v>
      </c>
      <c r="AO52" t="s">
        <v>59</v>
      </c>
      <c r="AP52">
        <v>2.6740380212775649E-2</v>
      </c>
      <c r="AQ52">
        <v>436125591.71501642</v>
      </c>
      <c r="AR52">
        <v>602546782.80707359</v>
      </c>
    </row>
    <row r="53" spans="1:44" x14ac:dyDescent="0.25">
      <c r="A53" s="1">
        <v>123</v>
      </c>
      <c r="B53">
        <v>545</v>
      </c>
      <c r="C53">
        <v>545</v>
      </c>
      <c r="D53">
        <v>545</v>
      </c>
      <c r="E53">
        <v>466</v>
      </c>
      <c r="F53" t="s">
        <v>43</v>
      </c>
      <c r="G53" s="2">
        <v>42735</v>
      </c>
      <c r="H53" t="s">
        <v>44</v>
      </c>
      <c r="I53" t="s">
        <v>45</v>
      </c>
      <c r="J53" t="s">
        <v>46</v>
      </c>
      <c r="K53">
        <v>866240401.02197897</v>
      </c>
      <c r="L53">
        <v>579416202.244169</v>
      </c>
      <c r="M53">
        <v>6103871474.2488298</v>
      </c>
      <c r="N53">
        <v>9.4926016166727134E-2</v>
      </c>
      <c r="O53">
        <v>3.8152312072107612E-2</v>
      </c>
      <c r="P53">
        <v>15186922384.9154</v>
      </c>
      <c r="Q53">
        <v>2016</v>
      </c>
      <c r="R53">
        <v>0</v>
      </c>
      <c r="S53">
        <v>0</v>
      </c>
      <c r="T53" t="s">
        <v>47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2</v>
      </c>
      <c r="AJ53">
        <v>1</v>
      </c>
      <c r="AK53">
        <v>15871693999.004999</v>
      </c>
      <c r="AL53">
        <v>10</v>
      </c>
      <c r="AM53">
        <v>1</v>
      </c>
      <c r="AN53">
        <v>2016</v>
      </c>
      <c r="AO53" t="s">
        <v>62</v>
      </c>
      <c r="AP53">
        <v>3.8046758435701003E-2</v>
      </c>
      <c r="AQ53">
        <v>577813167.36061633</v>
      </c>
      <c r="AR53">
        <v>288427233.66136259</v>
      </c>
    </row>
    <row r="54" spans="1:44" x14ac:dyDescent="0.25">
      <c r="A54" s="1">
        <v>124</v>
      </c>
      <c r="B54">
        <v>546</v>
      </c>
      <c r="C54">
        <v>546</v>
      </c>
      <c r="D54">
        <v>546</v>
      </c>
      <c r="E54">
        <v>467</v>
      </c>
      <c r="F54" t="s">
        <v>43</v>
      </c>
      <c r="G54" s="2">
        <v>42369</v>
      </c>
      <c r="H54" t="s">
        <v>44</v>
      </c>
      <c r="I54" t="s">
        <v>45</v>
      </c>
      <c r="J54" t="s">
        <v>46</v>
      </c>
      <c r="K54">
        <v>397373090.34399903</v>
      </c>
      <c r="L54">
        <v>314671835.840927</v>
      </c>
      <c r="M54">
        <v>5610999165.0773497</v>
      </c>
      <c r="N54">
        <v>5.608124802431496E-2</v>
      </c>
      <c r="O54">
        <v>2.2030116749359101E-2</v>
      </c>
      <c r="P54">
        <v>14283711676.2026</v>
      </c>
      <c r="Q54">
        <v>2015</v>
      </c>
      <c r="R54">
        <v>0</v>
      </c>
      <c r="S54">
        <v>0</v>
      </c>
      <c r="T54" t="s">
        <v>47</v>
      </c>
      <c r="U54">
        <v>0</v>
      </c>
      <c r="V54">
        <v>0</v>
      </c>
      <c r="W54">
        <v>0</v>
      </c>
      <c r="X54">
        <v>1000000000</v>
      </c>
      <c r="Y54" t="s">
        <v>60</v>
      </c>
      <c r="Z54">
        <v>0</v>
      </c>
      <c r="AA54">
        <v>1</v>
      </c>
      <c r="AB54">
        <v>0</v>
      </c>
      <c r="AC54">
        <v>0</v>
      </c>
      <c r="AD54">
        <v>1</v>
      </c>
      <c r="AE54" t="s">
        <v>61</v>
      </c>
      <c r="AF54">
        <v>0</v>
      </c>
      <c r="AG54">
        <v>0</v>
      </c>
      <c r="AH54">
        <v>0</v>
      </c>
      <c r="AI54">
        <v>2</v>
      </c>
      <c r="AJ54">
        <v>1</v>
      </c>
      <c r="AK54">
        <v>15871693999.004999</v>
      </c>
      <c r="AL54">
        <v>10</v>
      </c>
      <c r="AM54">
        <v>1</v>
      </c>
      <c r="AN54">
        <v>2015</v>
      </c>
      <c r="AO54" t="s">
        <v>62</v>
      </c>
      <c r="AP54">
        <v>3.8046758435701003E-2</v>
      </c>
      <c r="AQ54">
        <v>543448927.70968223</v>
      </c>
      <c r="AR54">
        <v>-146075837.3656832</v>
      </c>
    </row>
    <row r="55" spans="1:44" x14ac:dyDescent="0.25">
      <c r="A55" s="1">
        <v>125</v>
      </c>
      <c r="B55">
        <v>547</v>
      </c>
      <c r="C55">
        <v>547</v>
      </c>
      <c r="D55">
        <v>547</v>
      </c>
      <c r="E55">
        <v>468</v>
      </c>
      <c r="F55" t="s">
        <v>43</v>
      </c>
      <c r="G55" s="2">
        <v>42004</v>
      </c>
      <c r="H55" t="s">
        <v>44</v>
      </c>
      <c r="I55" t="s">
        <v>45</v>
      </c>
      <c r="J55" t="s">
        <v>46</v>
      </c>
      <c r="K55">
        <v>461908393.79947197</v>
      </c>
      <c r="L55">
        <v>296199155.67282301</v>
      </c>
      <c r="M55">
        <v>7078360150.0659599</v>
      </c>
      <c r="N55">
        <v>4.1845731128849498E-2</v>
      </c>
      <c r="O55">
        <v>1.6760613435354729E-2</v>
      </c>
      <c r="P55">
        <v>17672333820.910301</v>
      </c>
      <c r="Q55">
        <v>2014</v>
      </c>
      <c r="R55">
        <v>0</v>
      </c>
      <c r="S55">
        <v>0</v>
      </c>
      <c r="T55" t="s">
        <v>47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2</v>
      </c>
      <c r="AJ55">
        <v>1</v>
      </c>
      <c r="AK55">
        <v>15871693999.004999</v>
      </c>
      <c r="AL55">
        <v>10</v>
      </c>
      <c r="AM55">
        <v>1</v>
      </c>
      <c r="AN55">
        <v>2014</v>
      </c>
      <c r="AO55" t="s">
        <v>62</v>
      </c>
      <c r="AP55">
        <v>3.8046758435701003E-2</v>
      </c>
      <c r="AQ55">
        <v>672375015.87924314</v>
      </c>
      <c r="AR55">
        <v>-210466622.07977119</v>
      </c>
    </row>
    <row r="56" spans="1:44" x14ac:dyDescent="0.25">
      <c r="A56" s="1">
        <v>126</v>
      </c>
      <c r="B56">
        <v>548</v>
      </c>
      <c r="C56">
        <v>548</v>
      </c>
      <c r="D56">
        <v>548</v>
      </c>
      <c r="E56">
        <v>469</v>
      </c>
      <c r="F56" t="s">
        <v>43</v>
      </c>
      <c r="G56" s="2">
        <v>41639</v>
      </c>
      <c r="H56" t="s">
        <v>44</v>
      </c>
      <c r="I56" t="s">
        <v>45</v>
      </c>
      <c r="J56" t="s">
        <v>46</v>
      </c>
      <c r="K56">
        <v>620450350.27603304</v>
      </c>
      <c r="L56">
        <v>437397289.16809398</v>
      </c>
      <c r="M56">
        <v>8112063588.4256601</v>
      </c>
      <c r="N56">
        <v>5.3919361504041342E-2</v>
      </c>
      <c r="O56">
        <v>2.2827565771220849E-2</v>
      </c>
      <c r="P56">
        <v>19160925591.090801</v>
      </c>
      <c r="Q56">
        <v>2013</v>
      </c>
      <c r="R56">
        <v>0</v>
      </c>
      <c r="S56">
        <v>0</v>
      </c>
      <c r="T56" t="s">
        <v>47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2</v>
      </c>
      <c r="AJ56">
        <v>1</v>
      </c>
      <c r="AK56">
        <v>15871693999.004999</v>
      </c>
      <c r="AL56">
        <v>10</v>
      </c>
      <c r="AM56">
        <v>1</v>
      </c>
      <c r="AN56">
        <v>2013</v>
      </c>
      <c r="AO56" t="s">
        <v>62</v>
      </c>
      <c r="AP56">
        <v>3.8046758435701003E-2</v>
      </c>
      <c r="AQ56">
        <v>729011107.36867321</v>
      </c>
      <c r="AR56">
        <v>-108560757.09264021</v>
      </c>
    </row>
    <row r="57" spans="1:44" x14ac:dyDescent="0.25">
      <c r="A57" s="1">
        <v>205</v>
      </c>
      <c r="B57">
        <v>659</v>
      </c>
      <c r="C57">
        <v>659</v>
      </c>
      <c r="D57">
        <v>659</v>
      </c>
      <c r="E57">
        <v>1003</v>
      </c>
      <c r="F57" t="s">
        <v>70</v>
      </c>
      <c r="G57" s="2">
        <v>45291</v>
      </c>
      <c r="H57" t="s">
        <v>71</v>
      </c>
      <c r="I57" t="s">
        <v>65</v>
      </c>
      <c r="J57" t="s">
        <v>46</v>
      </c>
      <c r="K57">
        <v>548572000</v>
      </c>
      <c r="L57">
        <v>403830000</v>
      </c>
      <c r="M57">
        <v>2973256000</v>
      </c>
      <c r="N57">
        <v>0.1358207971328402</v>
      </c>
      <c r="O57">
        <v>6.0628553386771977E-2</v>
      </c>
      <c r="P57">
        <v>6660723000</v>
      </c>
      <c r="Q57">
        <v>2023</v>
      </c>
      <c r="R57">
        <v>0</v>
      </c>
      <c r="S57">
        <v>0</v>
      </c>
      <c r="T57" t="s">
        <v>72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4</v>
      </c>
      <c r="AJ57">
        <v>1</v>
      </c>
      <c r="AK57">
        <v>6665554272.7272701</v>
      </c>
      <c r="AL57">
        <v>10</v>
      </c>
      <c r="AM57">
        <v>1</v>
      </c>
      <c r="AN57">
        <v>2023</v>
      </c>
      <c r="AO57" t="s">
        <v>48</v>
      </c>
      <c r="AP57">
        <v>3.5835499651311283E-2</v>
      </c>
      <c r="AQ57">
        <v>238690336.743981</v>
      </c>
      <c r="AR57">
        <v>309881663.256019</v>
      </c>
    </row>
    <row r="58" spans="1:44" x14ac:dyDescent="0.25">
      <c r="A58" s="1">
        <v>206</v>
      </c>
      <c r="B58">
        <v>660</v>
      </c>
      <c r="C58">
        <v>660</v>
      </c>
      <c r="D58">
        <v>660</v>
      </c>
      <c r="E58">
        <v>1004</v>
      </c>
      <c r="F58" t="s">
        <v>70</v>
      </c>
      <c r="G58" s="2">
        <v>44926</v>
      </c>
      <c r="H58" t="s">
        <v>71</v>
      </c>
      <c r="I58" t="s">
        <v>65</v>
      </c>
      <c r="J58" t="s">
        <v>46</v>
      </c>
      <c r="K58">
        <v>416000000</v>
      </c>
      <c r="L58">
        <v>310467000</v>
      </c>
      <c r="M58">
        <v>2817580000</v>
      </c>
      <c r="N58">
        <v>0.1101892404119848</v>
      </c>
      <c r="O58">
        <v>4.6997914312105982E-2</v>
      </c>
      <c r="P58">
        <v>6605974000</v>
      </c>
      <c r="Q58">
        <v>2022</v>
      </c>
      <c r="R58">
        <v>0</v>
      </c>
      <c r="S58">
        <v>0</v>
      </c>
      <c r="T58" t="s">
        <v>72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4</v>
      </c>
      <c r="AJ58">
        <v>1</v>
      </c>
      <c r="AK58">
        <v>6665554272.7272701</v>
      </c>
      <c r="AL58">
        <v>10</v>
      </c>
      <c r="AM58">
        <v>1</v>
      </c>
      <c r="AN58">
        <v>2022</v>
      </c>
      <c r="AO58" t="s">
        <v>48</v>
      </c>
      <c r="AP58">
        <v>3.5835499651311283E-2</v>
      </c>
      <c r="AQ58">
        <v>236728378.97357139</v>
      </c>
      <c r="AR58">
        <v>179271621.02642861</v>
      </c>
    </row>
    <row r="59" spans="1:44" x14ac:dyDescent="0.25">
      <c r="A59" s="1">
        <v>207</v>
      </c>
      <c r="B59">
        <v>661</v>
      </c>
      <c r="C59">
        <v>661</v>
      </c>
      <c r="D59">
        <v>661</v>
      </c>
      <c r="E59">
        <v>1005</v>
      </c>
      <c r="F59" t="s">
        <v>70</v>
      </c>
      <c r="G59" s="2">
        <v>44561</v>
      </c>
      <c r="H59" t="s">
        <v>71</v>
      </c>
      <c r="I59" t="s">
        <v>65</v>
      </c>
      <c r="J59" t="s">
        <v>46</v>
      </c>
      <c r="K59">
        <v>825172000</v>
      </c>
      <c r="L59">
        <v>540180000</v>
      </c>
      <c r="M59">
        <v>2720627000</v>
      </c>
      <c r="N59">
        <v>0.19854981958203019</v>
      </c>
      <c r="O59">
        <v>8.1814365086721588E-2</v>
      </c>
      <c r="P59">
        <v>6602508000</v>
      </c>
      <c r="Q59">
        <v>2021</v>
      </c>
      <c r="R59">
        <v>0</v>
      </c>
      <c r="S59">
        <v>0</v>
      </c>
      <c r="T59" t="s">
        <v>72</v>
      </c>
      <c r="U59">
        <v>0</v>
      </c>
      <c r="V59">
        <v>0</v>
      </c>
      <c r="W59">
        <v>0</v>
      </c>
      <c r="X59">
        <v>600000000</v>
      </c>
      <c r="Y59" t="s">
        <v>73</v>
      </c>
      <c r="Z59">
        <v>0</v>
      </c>
      <c r="AA59">
        <v>1</v>
      </c>
      <c r="AB59">
        <v>0</v>
      </c>
      <c r="AC59">
        <v>0</v>
      </c>
      <c r="AD59">
        <v>1</v>
      </c>
      <c r="AE59" t="s">
        <v>72</v>
      </c>
      <c r="AF59">
        <v>0</v>
      </c>
      <c r="AG59">
        <v>0</v>
      </c>
      <c r="AH59">
        <v>0</v>
      </c>
      <c r="AI59">
        <v>4</v>
      </c>
      <c r="AJ59">
        <v>1</v>
      </c>
      <c r="AK59">
        <v>6665554272.7272701</v>
      </c>
      <c r="AL59">
        <v>10</v>
      </c>
      <c r="AM59">
        <v>1</v>
      </c>
      <c r="AN59">
        <v>2021</v>
      </c>
      <c r="AO59" t="s">
        <v>48</v>
      </c>
      <c r="AP59">
        <v>3.5835499651311283E-2</v>
      </c>
      <c r="AQ59">
        <v>236604173.13177991</v>
      </c>
      <c r="AR59">
        <v>588567826.86822009</v>
      </c>
    </row>
    <row r="60" spans="1:44" x14ac:dyDescent="0.25">
      <c r="A60" s="1">
        <v>208</v>
      </c>
      <c r="B60">
        <v>662</v>
      </c>
      <c r="C60">
        <v>662</v>
      </c>
      <c r="D60">
        <v>662</v>
      </c>
      <c r="E60">
        <v>1006</v>
      </c>
      <c r="F60" t="s">
        <v>70</v>
      </c>
      <c r="G60" s="2">
        <v>44196</v>
      </c>
      <c r="H60" t="s">
        <v>71</v>
      </c>
      <c r="I60" t="s">
        <v>65</v>
      </c>
      <c r="J60" t="s">
        <v>46</v>
      </c>
      <c r="K60">
        <v>132219000</v>
      </c>
      <c r="L60">
        <v>89468000</v>
      </c>
      <c r="M60">
        <v>3459451000</v>
      </c>
      <c r="N60">
        <v>2.5861906990444439E-2</v>
      </c>
      <c r="O60">
        <v>1.3486553167255239E-2</v>
      </c>
      <c r="P60">
        <v>6633867000</v>
      </c>
      <c r="Q60">
        <v>2020</v>
      </c>
      <c r="R60">
        <v>0</v>
      </c>
      <c r="S60">
        <v>0</v>
      </c>
      <c r="T60" t="s">
        <v>72</v>
      </c>
      <c r="U60">
        <v>0</v>
      </c>
      <c r="V60">
        <v>0</v>
      </c>
      <c r="W60">
        <v>0</v>
      </c>
      <c r="X60">
        <v>500000000</v>
      </c>
      <c r="Y60" t="s">
        <v>73</v>
      </c>
      <c r="Z60">
        <v>0</v>
      </c>
      <c r="AA60">
        <v>1</v>
      </c>
      <c r="AB60">
        <v>0</v>
      </c>
      <c r="AC60">
        <v>0</v>
      </c>
      <c r="AD60">
        <v>1</v>
      </c>
      <c r="AE60" t="s">
        <v>72</v>
      </c>
      <c r="AF60">
        <v>0</v>
      </c>
      <c r="AG60">
        <v>0</v>
      </c>
      <c r="AH60">
        <v>0</v>
      </c>
      <c r="AI60">
        <v>4</v>
      </c>
      <c r="AJ60">
        <v>1</v>
      </c>
      <c r="AK60">
        <v>6665554272.7272701</v>
      </c>
      <c r="AL60">
        <v>10</v>
      </c>
      <c r="AM60">
        <v>1</v>
      </c>
      <c r="AN60">
        <v>2020</v>
      </c>
      <c r="AO60" t="s">
        <v>48</v>
      </c>
      <c r="AP60">
        <v>3.5835499651311283E-2</v>
      </c>
      <c r="AQ60">
        <v>237727938.56534541</v>
      </c>
      <c r="AR60">
        <v>-105508938.56534541</v>
      </c>
    </row>
    <row r="61" spans="1:44" x14ac:dyDescent="0.25">
      <c r="A61" s="1">
        <v>339</v>
      </c>
      <c r="B61">
        <v>663</v>
      </c>
      <c r="C61">
        <v>663</v>
      </c>
      <c r="D61">
        <v>663</v>
      </c>
      <c r="E61">
        <v>1007</v>
      </c>
      <c r="F61" t="s">
        <v>70</v>
      </c>
      <c r="G61" s="2">
        <v>43830</v>
      </c>
      <c r="H61" t="s">
        <v>71</v>
      </c>
      <c r="I61" t="s">
        <v>65</v>
      </c>
      <c r="J61" t="s">
        <v>46</v>
      </c>
      <c r="K61">
        <v>270182000</v>
      </c>
      <c r="L61">
        <v>201966000</v>
      </c>
      <c r="M61">
        <v>3536293000</v>
      </c>
      <c r="N61">
        <v>5.7112349005017403E-2</v>
      </c>
      <c r="O61">
        <v>3.0120127957526451E-2</v>
      </c>
      <c r="P61">
        <v>6705350000</v>
      </c>
      <c r="Q61">
        <v>2019</v>
      </c>
      <c r="R61">
        <v>0</v>
      </c>
      <c r="S61">
        <v>0</v>
      </c>
      <c r="T61" t="s">
        <v>72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4</v>
      </c>
      <c r="AJ61">
        <v>1</v>
      </c>
      <c r="AK61">
        <v>6665554272.7272701</v>
      </c>
      <c r="AL61">
        <v>10</v>
      </c>
      <c r="AM61">
        <v>1</v>
      </c>
      <c r="AN61">
        <v>2019</v>
      </c>
      <c r="AO61" t="s">
        <v>59</v>
      </c>
      <c r="AP61">
        <v>4.4682896773591482E-2</v>
      </c>
      <c r="AQ61">
        <v>299614461.88080162</v>
      </c>
      <c r="AR61">
        <v>-29432461.880801622</v>
      </c>
    </row>
    <row r="62" spans="1:44" x14ac:dyDescent="0.25">
      <c r="A62" s="1">
        <v>340</v>
      </c>
      <c r="B62">
        <v>664</v>
      </c>
      <c r="C62">
        <v>664</v>
      </c>
      <c r="D62">
        <v>664</v>
      </c>
      <c r="E62">
        <v>1008</v>
      </c>
      <c r="F62" t="s">
        <v>70</v>
      </c>
      <c r="G62" s="2">
        <v>43465</v>
      </c>
      <c r="H62" t="s">
        <v>71</v>
      </c>
      <c r="I62" t="s">
        <v>65</v>
      </c>
      <c r="J62" t="s">
        <v>46</v>
      </c>
      <c r="K62">
        <v>328843000</v>
      </c>
      <c r="L62">
        <v>230425000</v>
      </c>
      <c r="M62">
        <v>3656514000</v>
      </c>
      <c r="N62">
        <v>6.3017672023134602E-2</v>
      </c>
      <c r="O62">
        <v>3.3994266155372051E-2</v>
      </c>
      <c r="P62">
        <v>6778349000</v>
      </c>
      <c r="Q62">
        <v>2018</v>
      </c>
      <c r="R62">
        <v>0</v>
      </c>
      <c r="S62">
        <v>0</v>
      </c>
      <c r="T62" t="s">
        <v>72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4</v>
      </c>
      <c r="AJ62">
        <v>1</v>
      </c>
      <c r="AK62">
        <v>6665554272.7272701</v>
      </c>
      <c r="AL62">
        <v>10</v>
      </c>
      <c r="AM62">
        <v>1</v>
      </c>
      <c r="AN62">
        <v>2018</v>
      </c>
      <c r="AO62" t="s">
        <v>59</v>
      </c>
      <c r="AP62">
        <v>4.4682896773591482E-2</v>
      </c>
      <c r="AQ62">
        <v>302876268.662377</v>
      </c>
      <c r="AR62">
        <v>25966731.337623</v>
      </c>
    </row>
    <row r="63" spans="1:44" x14ac:dyDescent="0.25">
      <c r="A63" s="1">
        <v>341</v>
      </c>
      <c r="B63">
        <v>665</v>
      </c>
      <c r="C63">
        <v>665</v>
      </c>
      <c r="D63">
        <v>665</v>
      </c>
      <c r="E63">
        <v>1009</v>
      </c>
      <c r="F63" t="s">
        <v>70</v>
      </c>
      <c r="G63" s="2">
        <v>43100</v>
      </c>
      <c r="H63" t="s">
        <v>71</v>
      </c>
      <c r="I63" t="s">
        <v>65</v>
      </c>
      <c r="J63" t="s">
        <v>46</v>
      </c>
      <c r="K63">
        <v>322682000</v>
      </c>
      <c r="L63">
        <v>288602000</v>
      </c>
      <c r="M63">
        <v>3724532000</v>
      </c>
      <c r="N63">
        <v>7.7486782231969004E-2</v>
      </c>
      <c r="O63">
        <v>4.1690176816550913E-2</v>
      </c>
      <c r="P63">
        <v>6922542000</v>
      </c>
      <c r="Q63">
        <v>2017</v>
      </c>
      <c r="R63">
        <v>0</v>
      </c>
      <c r="S63">
        <v>0</v>
      </c>
      <c r="T63" t="s">
        <v>72</v>
      </c>
      <c r="U63">
        <v>0</v>
      </c>
      <c r="V63">
        <v>0</v>
      </c>
      <c r="W63">
        <v>0</v>
      </c>
      <c r="X63">
        <v>500000000</v>
      </c>
      <c r="Y63" t="s">
        <v>73</v>
      </c>
      <c r="Z63">
        <v>0</v>
      </c>
      <c r="AA63">
        <v>1</v>
      </c>
      <c r="AB63">
        <v>0</v>
      </c>
      <c r="AC63">
        <v>0</v>
      </c>
      <c r="AD63">
        <v>1</v>
      </c>
      <c r="AE63" t="s">
        <v>72</v>
      </c>
      <c r="AF63">
        <v>0</v>
      </c>
      <c r="AG63">
        <v>0</v>
      </c>
      <c r="AH63">
        <v>0</v>
      </c>
      <c r="AI63">
        <v>4</v>
      </c>
      <c r="AJ63">
        <v>1</v>
      </c>
      <c r="AK63">
        <v>6665554272.7272701</v>
      </c>
      <c r="AL63">
        <v>10</v>
      </c>
      <c r="AM63">
        <v>1</v>
      </c>
      <c r="AN63">
        <v>2017</v>
      </c>
      <c r="AO63" t="s">
        <v>59</v>
      </c>
      <c r="AP63">
        <v>4.4682896773591482E-2</v>
      </c>
      <c r="AQ63">
        <v>309319229.59685153</v>
      </c>
      <c r="AR63">
        <v>13362770.40314853</v>
      </c>
    </row>
    <row r="64" spans="1:44" x14ac:dyDescent="0.25">
      <c r="A64" s="1">
        <v>445</v>
      </c>
      <c r="B64">
        <v>666</v>
      </c>
      <c r="C64">
        <v>666</v>
      </c>
      <c r="D64">
        <v>666</v>
      </c>
      <c r="E64">
        <v>1010</v>
      </c>
      <c r="F64" t="s">
        <v>70</v>
      </c>
      <c r="G64" s="2">
        <v>42735</v>
      </c>
      <c r="H64" t="s">
        <v>71</v>
      </c>
      <c r="I64" t="s">
        <v>65</v>
      </c>
      <c r="J64" t="s">
        <v>46</v>
      </c>
      <c r="K64">
        <v>271654000</v>
      </c>
      <c r="L64">
        <v>204740000</v>
      </c>
      <c r="M64">
        <v>3576385000</v>
      </c>
      <c r="N64">
        <v>5.7247751570370639E-2</v>
      </c>
      <c r="O64">
        <v>3.000909624163698E-2</v>
      </c>
      <c r="P64">
        <v>6822598000</v>
      </c>
      <c r="Q64">
        <v>2016</v>
      </c>
      <c r="R64">
        <v>0</v>
      </c>
      <c r="S64">
        <v>0</v>
      </c>
      <c r="T64" t="s">
        <v>72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4</v>
      </c>
      <c r="AJ64">
        <v>1</v>
      </c>
      <c r="AK64">
        <v>6665554272.7272701</v>
      </c>
      <c r="AL64">
        <v>10</v>
      </c>
      <c r="AM64">
        <v>1</v>
      </c>
      <c r="AN64">
        <v>2016</v>
      </c>
      <c r="AO64" t="s">
        <v>62</v>
      </c>
      <c r="AP64">
        <v>5.573875737993636E-2</v>
      </c>
      <c r="AQ64">
        <v>380283134.62283897</v>
      </c>
      <c r="AR64">
        <v>-108629134.622839</v>
      </c>
    </row>
    <row r="65" spans="1:44" x14ac:dyDescent="0.25">
      <c r="A65" s="1">
        <v>446</v>
      </c>
      <c r="B65">
        <v>667</v>
      </c>
      <c r="C65">
        <v>667</v>
      </c>
      <c r="D65">
        <v>667</v>
      </c>
      <c r="E65">
        <v>1011</v>
      </c>
      <c r="F65" t="s">
        <v>70</v>
      </c>
      <c r="G65" s="2">
        <v>42369</v>
      </c>
      <c r="H65" t="s">
        <v>71</v>
      </c>
      <c r="I65" t="s">
        <v>65</v>
      </c>
      <c r="J65" t="s">
        <v>46</v>
      </c>
      <c r="K65">
        <v>300036000</v>
      </c>
      <c r="L65">
        <v>200433000</v>
      </c>
      <c r="M65">
        <v>3462660000</v>
      </c>
      <c r="N65">
        <v>5.7884112214309232E-2</v>
      </c>
      <c r="O65">
        <v>2.800455544010003E-2</v>
      </c>
      <c r="P65">
        <v>7157157000</v>
      </c>
      <c r="Q65">
        <v>2015</v>
      </c>
      <c r="R65">
        <v>0</v>
      </c>
      <c r="S65">
        <v>0</v>
      </c>
      <c r="T65" t="s">
        <v>72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4</v>
      </c>
      <c r="AJ65">
        <v>1</v>
      </c>
      <c r="AK65">
        <v>6665554272.7272701</v>
      </c>
      <c r="AL65">
        <v>10</v>
      </c>
      <c r="AM65">
        <v>1</v>
      </c>
      <c r="AN65">
        <v>2015</v>
      </c>
      <c r="AO65" t="s">
        <v>62</v>
      </c>
      <c r="AP65">
        <v>5.573875737993636E-2</v>
      </c>
      <c r="AQ65">
        <v>398931037.55311322</v>
      </c>
      <c r="AR65">
        <v>-98895037.553113163</v>
      </c>
    </row>
    <row r="66" spans="1:44" x14ac:dyDescent="0.25">
      <c r="A66" s="1">
        <v>447</v>
      </c>
      <c r="B66">
        <v>668</v>
      </c>
      <c r="C66">
        <v>668</v>
      </c>
      <c r="D66">
        <v>668</v>
      </c>
      <c r="E66">
        <v>1012</v>
      </c>
      <c r="F66" t="s">
        <v>70</v>
      </c>
      <c r="G66" s="2">
        <v>42004</v>
      </c>
      <c r="H66" t="s">
        <v>71</v>
      </c>
      <c r="I66" t="s">
        <v>65</v>
      </c>
      <c r="J66" t="s">
        <v>46</v>
      </c>
      <c r="K66">
        <v>169669000</v>
      </c>
      <c r="L66">
        <v>79526000</v>
      </c>
      <c r="M66">
        <v>3337973000</v>
      </c>
      <c r="N66">
        <v>2.382463848569177E-2</v>
      </c>
      <c r="O66">
        <v>1.247669620925004E-2</v>
      </c>
      <c r="P66">
        <v>6373963000</v>
      </c>
      <c r="Q66">
        <v>2014</v>
      </c>
      <c r="R66">
        <v>0</v>
      </c>
      <c r="S66">
        <v>0</v>
      </c>
      <c r="T66" t="s">
        <v>72</v>
      </c>
      <c r="U66">
        <v>0</v>
      </c>
      <c r="V66">
        <v>0</v>
      </c>
      <c r="W66">
        <v>0</v>
      </c>
      <c r="X66">
        <v>500000000</v>
      </c>
      <c r="Y66" t="s">
        <v>73</v>
      </c>
      <c r="Z66">
        <v>0</v>
      </c>
      <c r="AA66">
        <v>1</v>
      </c>
      <c r="AB66">
        <v>0</v>
      </c>
      <c r="AC66">
        <v>0</v>
      </c>
      <c r="AD66">
        <v>1</v>
      </c>
      <c r="AE66" t="s">
        <v>72</v>
      </c>
      <c r="AF66">
        <v>0</v>
      </c>
      <c r="AG66">
        <v>0</v>
      </c>
      <c r="AH66">
        <v>0</v>
      </c>
      <c r="AI66">
        <v>4</v>
      </c>
      <c r="AJ66">
        <v>1</v>
      </c>
      <c r="AK66">
        <v>6665554272.7272701</v>
      </c>
      <c r="AL66">
        <v>10</v>
      </c>
      <c r="AM66">
        <v>1</v>
      </c>
      <c r="AN66">
        <v>2014</v>
      </c>
      <c r="AO66" t="s">
        <v>62</v>
      </c>
      <c r="AP66">
        <v>5.573875737993636E-2</v>
      </c>
      <c r="AQ66">
        <v>355276777.20569128</v>
      </c>
      <c r="AR66">
        <v>-185607777.20569131</v>
      </c>
    </row>
    <row r="67" spans="1:44" x14ac:dyDescent="0.25">
      <c r="A67" s="1">
        <v>448</v>
      </c>
      <c r="B67">
        <v>669</v>
      </c>
      <c r="C67">
        <v>669</v>
      </c>
      <c r="D67">
        <v>669</v>
      </c>
      <c r="E67">
        <v>1013</v>
      </c>
      <c r="F67" t="s">
        <v>70</v>
      </c>
      <c r="G67" s="2">
        <v>41639</v>
      </c>
      <c r="H67" t="s">
        <v>71</v>
      </c>
      <c r="I67" t="s">
        <v>65</v>
      </c>
      <c r="J67" t="s">
        <v>46</v>
      </c>
      <c r="K67">
        <v>118996000</v>
      </c>
      <c r="L67">
        <v>62965000</v>
      </c>
      <c r="M67">
        <v>3556306000</v>
      </c>
      <c r="N67">
        <v>1.7705169352693499E-2</v>
      </c>
      <c r="O67">
        <v>1.039358105375544E-2</v>
      </c>
      <c r="P67">
        <v>6058066000</v>
      </c>
      <c r="Q67">
        <v>2013</v>
      </c>
      <c r="R67">
        <v>0</v>
      </c>
      <c r="S67">
        <v>0</v>
      </c>
      <c r="T67" t="s">
        <v>72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4</v>
      </c>
      <c r="AJ67">
        <v>1</v>
      </c>
      <c r="AK67">
        <v>6665554272.7272701</v>
      </c>
      <c r="AL67">
        <v>10</v>
      </c>
      <c r="AM67">
        <v>1</v>
      </c>
      <c r="AN67">
        <v>2013</v>
      </c>
      <c r="AO67" t="s">
        <v>62</v>
      </c>
      <c r="AP67">
        <v>5.573875737993636E-2</v>
      </c>
      <c r="AQ67">
        <v>337669070.96564162</v>
      </c>
      <c r="AR67">
        <v>-218673070.96564159</v>
      </c>
    </row>
    <row r="68" spans="1:44" x14ac:dyDescent="0.25">
      <c r="A68" s="1">
        <v>723</v>
      </c>
      <c r="B68">
        <v>700</v>
      </c>
      <c r="C68">
        <v>700</v>
      </c>
      <c r="D68">
        <v>700</v>
      </c>
      <c r="E68">
        <v>1360</v>
      </c>
      <c r="F68" t="s">
        <v>101</v>
      </c>
      <c r="G68" s="2">
        <v>45291</v>
      </c>
      <c r="H68" t="s">
        <v>102</v>
      </c>
      <c r="I68" t="s">
        <v>100</v>
      </c>
      <c r="J68" t="s">
        <v>46</v>
      </c>
      <c r="K68">
        <v>117148002.45292901</v>
      </c>
      <c r="L68">
        <v>134485728.72424999</v>
      </c>
      <c r="M68">
        <v>1383593520.1798799</v>
      </c>
      <c r="N68">
        <v>9.7200316973705986E-2</v>
      </c>
      <c r="O68">
        <v>3.4587412685691987E-2</v>
      </c>
      <c r="P68">
        <v>3888285311.9534898</v>
      </c>
      <c r="Q68">
        <v>2023</v>
      </c>
      <c r="R68">
        <v>0</v>
      </c>
      <c r="S68">
        <v>0</v>
      </c>
      <c r="T68" t="s">
        <v>103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</v>
      </c>
      <c r="AJ68">
        <v>1</v>
      </c>
      <c r="AK68">
        <v>3312109549.42946</v>
      </c>
      <c r="AL68">
        <v>9</v>
      </c>
      <c r="AM68">
        <v>1</v>
      </c>
      <c r="AN68">
        <v>2023</v>
      </c>
      <c r="AO68" t="s">
        <v>48</v>
      </c>
      <c r="AP68">
        <v>3.4062668681992411E-2</v>
      </c>
      <c r="AQ68">
        <v>132445374.3221292</v>
      </c>
      <c r="AR68">
        <v>-15297371.86920023</v>
      </c>
    </row>
    <row r="69" spans="1:44" x14ac:dyDescent="0.25">
      <c r="A69" s="1">
        <v>724</v>
      </c>
      <c r="B69">
        <v>701</v>
      </c>
      <c r="C69">
        <v>701</v>
      </c>
      <c r="D69">
        <v>701</v>
      </c>
      <c r="E69">
        <v>1361</v>
      </c>
      <c r="F69" t="s">
        <v>101</v>
      </c>
      <c r="G69" s="2">
        <v>44926</v>
      </c>
      <c r="H69" t="s">
        <v>102</v>
      </c>
      <c r="I69" t="s">
        <v>100</v>
      </c>
      <c r="J69" t="s">
        <v>46</v>
      </c>
      <c r="K69">
        <v>160118418.25902301</v>
      </c>
      <c r="L69">
        <v>159807091.29511699</v>
      </c>
      <c r="M69">
        <v>1551104111.81883</v>
      </c>
      <c r="N69">
        <v>0.1030279592952188</v>
      </c>
      <c r="O69">
        <v>3.7686085004365141E-2</v>
      </c>
      <c r="P69">
        <v>4240480041.28332</v>
      </c>
      <c r="Q69">
        <v>2022</v>
      </c>
      <c r="R69">
        <v>0</v>
      </c>
      <c r="S69">
        <v>0</v>
      </c>
      <c r="T69" t="s">
        <v>103</v>
      </c>
      <c r="U69">
        <v>0</v>
      </c>
      <c r="V69">
        <v>0</v>
      </c>
      <c r="W69">
        <v>0</v>
      </c>
      <c r="X69">
        <v>600000000</v>
      </c>
      <c r="Y69" t="s">
        <v>104</v>
      </c>
      <c r="Z69">
        <v>0</v>
      </c>
      <c r="AA69">
        <v>1</v>
      </c>
      <c r="AB69">
        <v>0</v>
      </c>
      <c r="AC69">
        <v>0</v>
      </c>
      <c r="AD69">
        <v>1</v>
      </c>
      <c r="AE69" t="s">
        <v>104</v>
      </c>
      <c r="AF69">
        <v>0</v>
      </c>
      <c r="AG69">
        <v>0</v>
      </c>
      <c r="AH69">
        <v>0</v>
      </c>
      <c r="AI69">
        <v>1</v>
      </c>
      <c r="AJ69">
        <v>1</v>
      </c>
      <c r="AK69">
        <v>3312109549.42946</v>
      </c>
      <c r="AL69">
        <v>9</v>
      </c>
      <c r="AM69">
        <v>1</v>
      </c>
      <c r="AN69">
        <v>2022</v>
      </c>
      <c r="AO69" t="s">
        <v>48</v>
      </c>
      <c r="AP69">
        <v>3.4062668681992411E-2</v>
      </c>
      <c r="AQ69">
        <v>144442066.69883519</v>
      </c>
      <c r="AR69">
        <v>15676351.560187791</v>
      </c>
    </row>
    <row r="70" spans="1:44" x14ac:dyDescent="0.25">
      <c r="A70" s="1">
        <v>725</v>
      </c>
      <c r="B70">
        <v>702</v>
      </c>
      <c r="C70">
        <v>702</v>
      </c>
      <c r="D70">
        <v>702</v>
      </c>
      <c r="E70">
        <v>1362</v>
      </c>
      <c r="F70" t="s">
        <v>101</v>
      </c>
      <c r="G70" s="2">
        <v>44561</v>
      </c>
      <c r="H70" t="s">
        <v>102</v>
      </c>
      <c r="I70" t="s">
        <v>100</v>
      </c>
      <c r="J70" t="s">
        <v>46</v>
      </c>
      <c r="K70">
        <v>354459468.922571</v>
      </c>
      <c r="L70">
        <v>257373611.79649901</v>
      </c>
      <c r="M70">
        <v>1536386126.18964</v>
      </c>
      <c r="N70">
        <v>0.1675188335856729</v>
      </c>
      <c r="O70">
        <v>7.6947618155569553E-2</v>
      </c>
      <c r="P70">
        <v>3344789844.90659</v>
      </c>
      <c r="Q70">
        <v>2021</v>
      </c>
      <c r="R70">
        <v>0</v>
      </c>
      <c r="S70">
        <v>0</v>
      </c>
      <c r="T70" t="s">
        <v>103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1</v>
      </c>
      <c r="AJ70">
        <v>1</v>
      </c>
      <c r="AK70">
        <v>3312109549.42946</v>
      </c>
      <c r="AL70">
        <v>9</v>
      </c>
      <c r="AM70">
        <v>1</v>
      </c>
      <c r="AN70">
        <v>2021</v>
      </c>
      <c r="AO70" t="s">
        <v>48</v>
      </c>
      <c r="AP70">
        <v>3.4062668681992411E-2</v>
      </c>
      <c r="AQ70">
        <v>113932468.29794601</v>
      </c>
      <c r="AR70">
        <v>240527000.624625</v>
      </c>
    </row>
    <row r="71" spans="1:44" x14ac:dyDescent="0.25">
      <c r="A71" s="1">
        <v>726</v>
      </c>
      <c r="B71">
        <v>703</v>
      </c>
      <c r="C71">
        <v>703</v>
      </c>
      <c r="D71">
        <v>703</v>
      </c>
      <c r="E71">
        <v>1363</v>
      </c>
      <c r="F71" t="s">
        <v>101</v>
      </c>
      <c r="G71" s="2">
        <v>44196</v>
      </c>
      <c r="H71" t="s">
        <v>102</v>
      </c>
      <c r="I71" t="s">
        <v>100</v>
      </c>
      <c r="J71" t="s">
        <v>46</v>
      </c>
      <c r="K71">
        <v>202329377.94998199</v>
      </c>
      <c r="L71">
        <v>152440797.46389601</v>
      </c>
      <c r="M71">
        <v>1826804445.22719</v>
      </c>
      <c r="N71">
        <v>8.3446697243468634E-2</v>
      </c>
      <c r="O71">
        <v>4.2843737707430531E-2</v>
      </c>
      <c r="P71">
        <v>3558064856.6396599</v>
      </c>
      <c r="Q71">
        <v>2020</v>
      </c>
      <c r="R71">
        <v>0</v>
      </c>
      <c r="S71">
        <v>0</v>
      </c>
      <c r="T71" t="s">
        <v>103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1</v>
      </c>
      <c r="AJ71">
        <v>1</v>
      </c>
      <c r="AK71">
        <v>3312109549.42946</v>
      </c>
      <c r="AL71">
        <v>9</v>
      </c>
      <c r="AM71">
        <v>1</v>
      </c>
      <c r="AN71">
        <v>2020</v>
      </c>
      <c r="AO71" t="s">
        <v>48</v>
      </c>
      <c r="AP71">
        <v>3.4062668681992411E-2</v>
      </c>
      <c r="AQ71">
        <v>121197184.3607576</v>
      </c>
      <c r="AR71">
        <v>81132193.589224428</v>
      </c>
    </row>
    <row r="72" spans="1:44" x14ac:dyDescent="0.25">
      <c r="A72" s="1">
        <v>978</v>
      </c>
      <c r="B72">
        <v>704</v>
      </c>
      <c r="C72">
        <v>704</v>
      </c>
      <c r="D72">
        <v>704</v>
      </c>
      <c r="E72">
        <v>1364</v>
      </c>
      <c r="F72" t="s">
        <v>101</v>
      </c>
      <c r="G72" s="2">
        <v>43830</v>
      </c>
      <c r="H72" t="s">
        <v>102</v>
      </c>
      <c r="I72" t="s">
        <v>100</v>
      </c>
      <c r="J72" t="s">
        <v>46</v>
      </c>
      <c r="K72">
        <v>247001429.14171699</v>
      </c>
      <c r="L72">
        <v>193806600.13306701</v>
      </c>
      <c r="M72">
        <v>1767204484.3645999</v>
      </c>
      <c r="N72">
        <v>0.1096684632976983</v>
      </c>
      <c r="O72">
        <v>6.1879693510147257E-2</v>
      </c>
      <c r="P72">
        <v>3131990304.7238898</v>
      </c>
      <c r="Q72">
        <v>2019</v>
      </c>
      <c r="R72">
        <v>0</v>
      </c>
      <c r="S72">
        <v>0</v>
      </c>
      <c r="T72" t="s">
        <v>103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1</v>
      </c>
      <c r="AJ72">
        <v>1</v>
      </c>
      <c r="AK72">
        <v>3312109549.42946</v>
      </c>
      <c r="AL72">
        <v>9</v>
      </c>
      <c r="AM72">
        <v>1</v>
      </c>
      <c r="AN72">
        <v>2019</v>
      </c>
      <c r="AO72" t="s">
        <v>59</v>
      </c>
      <c r="AP72">
        <v>3.5092427195981053E-2</v>
      </c>
      <c r="AQ72">
        <v>109909141.7470416</v>
      </c>
      <c r="AR72">
        <v>137092287.3946754</v>
      </c>
    </row>
    <row r="73" spans="1:44" x14ac:dyDescent="0.25">
      <c r="A73" s="1">
        <v>979</v>
      </c>
      <c r="B73">
        <v>705</v>
      </c>
      <c r="C73">
        <v>705</v>
      </c>
      <c r="D73">
        <v>705</v>
      </c>
      <c r="E73">
        <v>1365</v>
      </c>
      <c r="F73" t="s">
        <v>101</v>
      </c>
      <c r="G73" s="2">
        <v>43465</v>
      </c>
      <c r="H73" t="s">
        <v>102</v>
      </c>
      <c r="I73" t="s">
        <v>100</v>
      </c>
      <c r="J73" t="s">
        <v>46</v>
      </c>
      <c r="K73">
        <v>661342784.15241396</v>
      </c>
      <c r="L73">
        <v>464869064.01096898</v>
      </c>
      <c r="M73">
        <v>1847624605.61449</v>
      </c>
      <c r="N73">
        <v>0.25160363344282322</v>
      </c>
      <c r="O73">
        <v>0.13387473621565529</v>
      </c>
      <c r="P73">
        <v>3472418151.1149602</v>
      </c>
      <c r="Q73">
        <v>2018</v>
      </c>
      <c r="R73">
        <v>0</v>
      </c>
      <c r="S73">
        <v>0</v>
      </c>
      <c r="T73" t="s">
        <v>103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1</v>
      </c>
      <c r="AJ73">
        <v>1</v>
      </c>
      <c r="AK73">
        <v>3312109549.42946</v>
      </c>
      <c r="AL73">
        <v>9</v>
      </c>
      <c r="AM73">
        <v>1</v>
      </c>
      <c r="AN73">
        <v>2018</v>
      </c>
      <c r="AO73" t="s">
        <v>59</v>
      </c>
      <c r="AP73">
        <v>3.5092427195981053E-2</v>
      </c>
      <c r="AQ73">
        <v>121855581.1620049</v>
      </c>
      <c r="AR73">
        <v>539487202.99040914</v>
      </c>
    </row>
    <row r="74" spans="1:44" x14ac:dyDescent="0.25">
      <c r="A74" s="1">
        <v>980</v>
      </c>
      <c r="B74">
        <v>706</v>
      </c>
      <c r="C74">
        <v>706</v>
      </c>
      <c r="D74">
        <v>706</v>
      </c>
      <c r="E74">
        <v>1366</v>
      </c>
      <c r="F74" t="s">
        <v>101</v>
      </c>
      <c r="G74" s="2">
        <v>43100</v>
      </c>
      <c r="H74" t="s">
        <v>102</v>
      </c>
      <c r="I74" t="s">
        <v>100</v>
      </c>
      <c r="J74" t="s">
        <v>46</v>
      </c>
      <c r="K74">
        <v>319652477.01944202</v>
      </c>
      <c r="L74">
        <v>240963831.44879201</v>
      </c>
      <c r="M74">
        <v>1791388687.87115</v>
      </c>
      <c r="N74">
        <v>0.1345123105221506</v>
      </c>
      <c r="O74">
        <v>7.4944964616847659E-2</v>
      </c>
      <c r="P74">
        <v>3215210423.8184299</v>
      </c>
      <c r="Q74">
        <v>2017</v>
      </c>
      <c r="R74">
        <v>0</v>
      </c>
      <c r="S74">
        <v>0</v>
      </c>
      <c r="T74" t="s">
        <v>103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1</v>
      </c>
      <c r="AJ74">
        <v>1</v>
      </c>
      <c r="AK74">
        <v>3312109549.42946</v>
      </c>
      <c r="AL74">
        <v>9</v>
      </c>
      <c r="AM74">
        <v>1</v>
      </c>
      <c r="AN74">
        <v>2017</v>
      </c>
      <c r="AO74" t="s">
        <v>59</v>
      </c>
      <c r="AP74">
        <v>3.5092427195981053E-2</v>
      </c>
      <c r="AQ74">
        <v>112829537.7176076</v>
      </c>
      <c r="AR74">
        <v>206822939.3018344</v>
      </c>
    </row>
    <row r="75" spans="1:44" x14ac:dyDescent="0.25">
      <c r="A75" s="1">
        <v>1195</v>
      </c>
      <c r="B75">
        <v>707</v>
      </c>
      <c r="C75">
        <v>707</v>
      </c>
      <c r="D75">
        <v>707</v>
      </c>
      <c r="E75">
        <v>1367</v>
      </c>
      <c r="F75" t="s">
        <v>101</v>
      </c>
      <c r="G75" s="2">
        <v>42735</v>
      </c>
      <c r="H75" t="s">
        <v>102</v>
      </c>
      <c r="I75" t="s">
        <v>100</v>
      </c>
      <c r="J75" t="s">
        <v>46</v>
      </c>
      <c r="K75">
        <v>254490982.98196599</v>
      </c>
      <c r="L75">
        <v>209299237.998476</v>
      </c>
      <c r="M75">
        <v>1609613403.7562201</v>
      </c>
      <c r="N75">
        <v>0.13003074993663191</v>
      </c>
      <c r="O75">
        <v>7.4828975666611952E-2</v>
      </c>
      <c r="P75">
        <v>2797034653.1399002</v>
      </c>
      <c r="Q75">
        <v>2016</v>
      </c>
      <c r="R75">
        <v>0</v>
      </c>
      <c r="S75">
        <v>0</v>
      </c>
      <c r="T75" t="s">
        <v>103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1</v>
      </c>
      <c r="AJ75">
        <v>1</v>
      </c>
      <c r="AK75">
        <v>3312109549.42946</v>
      </c>
      <c r="AL75">
        <v>9</v>
      </c>
      <c r="AM75">
        <v>1</v>
      </c>
      <c r="AN75">
        <v>2016</v>
      </c>
      <c r="AO75" t="s">
        <v>62</v>
      </c>
      <c r="AP75">
        <v>3.5494312143141332E-2</v>
      </c>
      <c r="AQ75">
        <v>99278821.053730667</v>
      </c>
      <c r="AR75">
        <v>155212161.92823529</v>
      </c>
    </row>
    <row r="76" spans="1:44" x14ac:dyDescent="0.25">
      <c r="A76" s="1">
        <v>1196</v>
      </c>
      <c r="B76">
        <v>708</v>
      </c>
      <c r="C76">
        <v>708</v>
      </c>
      <c r="D76">
        <v>708</v>
      </c>
      <c r="E76">
        <v>1368</v>
      </c>
      <c r="F76" t="s">
        <v>101</v>
      </c>
      <c r="G76" s="2">
        <v>42369</v>
      </c>
      <c r="H76" t="s">
        <v>102</v>
      </c>
      <c r="I76" t="s">
        <v>100</v>
      </c>
      <c r="J76" t="s">
        <v>46</v>
      </c>
      <c r="K76">
        <v>269322746.34456497</v>
      </c>
      <c r="L76">
        <v>198524532.03362301</v>
      </c>
      <c r="M76">
        <v>1494407532.6693499</v>
      </c>
      <c r="N76">
        <v>0.13284497547935489</v>
      </c>
      <c r="O76">
        <v>7.6981449924864928E-2</v>
      </c>
      <c r="P76">
        <v>2578861949.5655899</v>
      </c>
      <c r="Q76">
        <v>2015</v>
      </c>
      <c r="R76">
        <v>0</v>
      </c>
      <c r="S76">
        <v>0</v>
      </c>
      <c r="T76" t="s">
        <v>103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1</v>
      </c>
      <c r="AJ76">
        <v>1</v>
      </c>
      <c r="AK76">
        <v>3312109549.42946</v>
      </c>
      <c r="AL76">
        <v>9</v>
      </c>
      <c r="AM76">
        <v>1</v>
      </c>
      <c r="AN76">
        <v>2015</v>
      </c>
      <c r="AO76" t="s">
        <v>62</v>
      </c>
      <c r="AP76">
        <v>3.5494312143141332E-2</v>
      </c>
      <c r="AQ76">
        <v>91534931.011951044</v>
      </c>
      <c r="AR76">
        <v>177787815.33261389</v>
      </c>
    </row>
    <row r="77" spans="1:44" x14ac:dyDescent="0.25">
      <c r="A77" s="1">
        <v>1197</v>
      </c>
      <c r="B77">
        <v>709</v>
      </c>
      <c r="C77">
        <v>709</v>
      </c>
      <c r="D77">
        <v>709</v>
      </c>
      <c r="E77">
        <v>1369</v>
      </c>
      <c r="F77" t="s">
        <v>101</v>
      </c>
      <c r="G77" s="2">
        <v>42004</v>
      </c>
      <c r="H77" t="s">
        <v>102</v>
      </c>
      <c r="I77" t="s">
        <v>100</v>
      </c>
      <c r="J77" t="s">
        <v>46</v>
      </c>
      <c r="K77">
        <v>275672958.44327199</v>
      </c>
      <c r="L77">
        <v>222442557.71767801</v>
      </c>
      <c r="M77">
        <v>1691273378.9577799</v>
      </c>
      <c r="N77">
        <v>0.13152371490335571</v>
      </c>
      <c r="O77">
        <v>7.6255913379730228E-2</v>
      </c>
      <c r="P77">
        <v>2917053220.64644</v>
      </c>
      <c r="Q77">
        <v>2014</v>
      </c>
      <c r="R77">
        <v>0</v>
      </c>
      <c r="S77">
        <v>0</v>
      </c>
      <c r="T77" t="s">
        <v>103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</v>
      </c>
      <c r="AJ77">
        <v>1</v>
      </c>
      <c r="AK77">
        <v>3312109549.42946</v>
      </c>
      <c r="AL77">
        <v>9</v>
      </c>
      <c r="AM77">
        <v>1</v>
      </c>
      <c r="AN77">
        <v>2014</v>
      </c>
      <c r="AO77" t="s">
        <v>62</v>
      </c>
      <c r="AP77">
        <v>3.5494312143141332E-2</v>
      </c>
      <c r="AQ77">
        <v>103538797.55178051</v>
      </c>
      <c r="AR77">
        <v>172134160.8914915</v>
      </c>
    </row>
    <row r="78" spans="1:44" x14ac:dyDescent="0.25">
      <c r="A78" s="1">
        <v>1198</v>
      </c>
      <c r="B78">
        <v>710</v>
      </c>
      <c r="C78">
        <v>710</v>
      </c>
      <c r="D78">
        <v>710</v>
      </c>
      <c r="E78">
        <v>1370</v>
      </c>
      <c r="F78" t="s">
        <v>101</v>
      </c>
      <c r="G78" s="2">
        <v>41639</v>
      </c>
      <c r="H78" t="s">
        <v>102</v>
      </c>
      <c r="I78" t="s">
        <v>100</v>
      </c>
      <c r="J78" t="s">
        <v>46</v>
      </c>
      <c r="K78">
        <v>319073782.60041898</v>
      </c>
      <c r="L78">
        <v>253006950.31410599</v>
      </c>
      <c r="M78">
        <v>1882116611.46012</v>
      </c>
      <c r="N78">
        <v>0.13442681966332931</v>
      </c>
      <c r="O78">
        <v>7.6924809219186832E-2</v>
      </c>
      <c r="P78">
        <v>3289016285.93185</v>
      </c>
      <c r="Q78">
        <v>2013</v>
      </c>
      <c r="R78">
        <v>0</v>
      </c>
      <c r="S78">
        <v>0</v>
      </c>
      <c r="T78" t="s">
        <v>103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1</v>
      </c>
      <c r="AJ78">
        <v>1</v>
      </c>
      <c r="AK78">
        <v>3312109549.42946</v>
      </c>
      <c r="AL78">
        <v>9</v>
      </c>
      <c r="AM78">
        <v>1</v>
      </c>
      <c r="AN78">
        <v>2013</v>
      </c>
      <c r="AO78" t="s">
        <v>62</v>
      </c>
      <c r="AP78">
        <v>3.5494312143141332E-2</v>
      </c>
      <c r="AQ78">
        <v>116741370.69674049</v>
      </c>
      <c r="AR78">
        <v>202332411.90367851</v>
      </c>
    </row>
    <row r="79" spans="1:44" x14ac:dyDescent="0.25">
      <c r="A79" s="1">
        <v>731</v>
      </c>
      <c r="B79">
        <v>733</v>
      </c>
      <c r="C79">
        <v>733</v>
      </c>
      <c r="D79">
        <v>733</v>
      </c>
      <c r="E79">
        <v>85</v>
      </c>
      <c r="F79" t="s">
        <v>105</v>
      </c>
      <c r="G79" s="2">
        <v>45291</v>
      </c>
      <c r="H79" t="s">
        <v>106</v>
      </c>
      <c r="I79" t="s">
        <v>100</v>
      </c>
      <c r="J79" t="s">
        <v>46</v>
      </c>
      <c r="K79">
        <v>62999022.235344902</v>
      </c>
      <c r="L79">
        <v>50149176.679007001</v>
      </c>
      <c r="M79">
        <v>588268634.30920506</v>
      </c>
      <c r="N79">
        <v>8.5248768596844229E-2</v>
      </c>
      <c r="O79">
        <v>2.8755405846635811E-2</v>
      </c>
      <c r="P79">
        <v>1743991267.1194</v>
      </c>
      <c r="Q79">
        <v>2023</v>
      </c>
      <c r="R79">
        <v>0</v>
      </c>
      <c r="S79">
        <v>0</v>
      </c>
      <c r="T79" t="s">
        <v>107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</v>
      </c>
      <c r="AJ79">
        <v>1</v>
      </c>
      <c r="AK79">
        <v>1525971929.5623</v>
      </c>
      <c r="AL79">
        <v>9</v>
      </c>
      <c r="AM79">
        <v>1</v>
      </c>
      <c r="AN79">
        <v>2023</v>
      </c>
      <c r="AO79" t="s">
        <v>48</v>
      </c>
      <c r="AP79">
        <v>3.4062668681992411E-2</v>
      </c>
      <c r="AQ79">
        <v>59404996.716176249</v>
      </c>
      <c r="AR79">
        <v>3594025.5191686531</v>
      </c>
    </row>
    <row r="80" spans="1:44" x14ac:dyDescent="0.25">
      <c r="A80" s="1">
        <v>732</v>
      </c>
      <c r="B80">
        <v>734</v>
      </c>
      <c r="C80">
        <v>734</v>
      </c>
      <c r="D80">
        <v>734</v>
      </c>
      <c r="E80">
        <v>86</v>
      </c>
      <c r="F80" t="s">
        <v>105</v>
      </c>
      <c r="G80" s="2">
        <v>44926</v>
      </c>
      <c r="H80" t="s">
        <v>106</v>
      </c>
      <c r="I80" t="s">
        <v>100</v>
      </c>
      <c r="J80" t="s">
        <v>46</v>
      </c>
      <c r="K80">
        <v>64444537.626798801</v>
      </c>
      <c r="L80">
        <v>58427263.505543798</v>
      </c>
      <c r="M80">
        <v>582144882.04765296</v>
      </c>
      <c r="N80">
        <v>0.1003655023128093</v>
      </c>
      <c r="O80">
        <v>3.0897533979576251E-2</v>
      </c>
      <c r="P80">
        <v>1891000865.7702301</v>
      </c>
      <c r="Q80">
        <v>2022</v>
      </c>
      <c r="R80">
        <v>0</v>
      </c>
      <c r="S80">
        <v>0</v>
      </c>
      <c r="T80" t="s">
        <v>107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1</v>
      </c>
      <c r="AJ80">
        <v>1</v>
      </c>
      <c r="AK80">
        <v>1525971929.5623</v>
      </c>
      <c r="AL80">
        <v>9</v>
      </c>
      <c r="AM80">
        <v>1</v>
      </c>
      <c r="AN80">
        <v>2022</v>
      </c>
      <c r="AO80" t="s">
        <v>48</v>
      </c>
      <c r="AP80">
        <v>3.4062668681992411E-2</v>
      </c>
      <c r="AQ80">
        <v>64412535.968092151</v>
      </c>
      <c r="AR80">
        <v>32001.658706650142</v>
      </c>
    </row>
    <row r="81" spans="1:44" x14ac:dyDescent="0.25">
      <c r="A81" s="1">
        <v>733</v>
      </c>
      <c r="B81">
        <v>735</v>
      </c>
      <c r="C81">
        <v>735</v>
      </c>
      <c r="D81">
        <v>735</v>
      </c>
      <c r="E81">
        <v>87</v>
      </c>
      <c r="F81" t="s">
        <v>105</v>
      </c>
      <c r="G81" s="2">
        <v>44561</v>
      </c>
      <c r="H81" t="s">
        <v>106</v>
      </c>
      <c r="I81" t="s">
        <v>100</v>
      </c>
      <c r="J81" t="s">
        <v>46</v>
      </c>
      <c r="K81">
        <v>66237744.095875897</v>
      </c>
      <c r="L81">
        <v>53862265.303724602</v>
      </c>
      <c r="M81">
        <v>553286283.63294601</v>
      </c>
      <c r="N81">
        <v>9.7349720925771599E-2</v>
      </c>
      <c r="O81">
        <v>3.2560473952272698E-2</v>
      </c>
      <c r="P81">
        <v>1654222398.0730801</v>
      </c>
      <c r="Q81">
        <v>2021</v>
      </c>
      <c r="R81">
        <v>0</v>
      </c>
      <c r="S81">
        <v>0</v>
      </c>
      <c r="T81" t="s">
        <v>107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1</v>
      </c>
      <c r="AJ81">
        <v>1</v>
      </c>
      <c r="AK81">
        <v>1525971929.5623</v>
      </c>
      <c r="AL81">
        <v>9</v>
      </c>
      <c r="AM81">
        <v>1</v>
      </c>
      <c r="AN81">
        <v>2021</v>
      </c>
      <c r="AO81" t="s">
        <v>48</v>
      </c>
      <c r="AP81">
        <v>3.4062668681992411E-2</v>
      </c>
      <c r="AQ81">
        <v>56347229.471894287</v>
      </c>
      <c r="AR81">
        <v>9890514.6239816099</v>
      </c>
    </row>
    <row r="82" spans="1:44" x14ac:dyDescent="0.25">
      <c r="A82" s="1">
        <v>734</v>
      </c>
      <c r="B82">
        <v>736</v>
      </c>
      <c r="C82">
        <v>736</v>
      </c>
      <c r="D82">
        <v>736</v>
      </c>
      <c r="E82">
        <v>88</v>
      </c>
      <c r="F82" t="s">
        <v>105</v>
      </c>
      <c r="G82" s="2">
        <v>44196</v>
      </c>
      <c r="H82" t="s">
        <v>106</v>
      </c>
      <c r="I82" t="s">
        <v>100</v>
      </c>
      <c r="J82" t="s">
        <v>46</v>
      </c>
      <c r="K82">
        <v>50983980.2747446</v>
      </c>
      <c r="L82">
        <v>42683078.5487848</v>
      </c>
      <c r="M82">
        <v>569705838.67559004</v>
      </c>
      <c r="N82">
        <v>7.4921258746463368E-2</v>
      </c>
      <c r="O82">
        <v>2.585831915882154E-2</v>
      </c>
      <c r="P82">
        <v>1650651702.71222</v>
      </c>
      <c r="Q82">
        <v>2020</v>
      </c>
      <c r="R82">
        <v>0</v>
      </c>
      <c r="S82">
        <v>0</v>
      </c>
      <c r="T82" t="s">
        <v>107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1</v>
      </c>
      <c r="AJ82">
        <v>1</v>
      </c>
      <c r="AK82">
        <v>1525971929.5623</v>
      </c>
      <c r="AL82">
        <v>9</v>
      </c>
      <c r="AM82">
        <v>1</v>
      </c>
      <c r="AN82">
        <v>2020</v>
      </c>
      <c r="AO82" t="s">
        <v>48</v>
      </c>
      <c r="AP82">
        <v>3.4062668681992411E-2</v>
      </c>
      <c r="AQ82">
        <v>56225602.058852993</v>
      </c>
      <c r="AR82">
        <v>-5241621.7841083854</v>
      </c>
    </row>
    <row r="83" spans="1:44" x14ac:dyDescent="0.25">
      <c r="A83" s="1">
        <v>984</v>
      </c>
      <c r="B83">
        <v>737</v>
      </c>
      <c r="C83">
        <v>737</v>
      </c>
      <c r="D83">
        <v>737</v>
      </c>
      <c r="E83">
        <v>89</v>
      </c>
      <c r="F83" t="s">
        <v>105</v>
      </c>
      <c r="G83" s="2">
        <v>43830</v>
      </c>
      <c r="H83" t="s">
        <v>106</v>
      </c>
      <c r="I83" t="s">
        <v>100</v>
      </c>
      <c r="J83" t="s">
        <v>46</v>
      </c>
      <c r="K83">
        <v>62882165.003326699</v>
      </c>
      <c r="L83">
        <v>47988397.870924801</v>
      </c>
      <c r="M83">
        <v>534550449.76713198</v>
      </c>
      <c r="N83">
        <v>8.9773374789657648E-2</v>
      </c>
      <c r="O83">
        <v>3.2010262753071221E-2</v>
      </c>
      <c r="P83">
        <v>1499156637.39188</v>
      </c>
      <c r="Q83">
        <v>2019</v>
      </c>
      <c r="R83">
        <v>0</v>
      </c>
      <c r="S83">
        <v>0</v>
      </c>
      <c r="T83" t="s">
        <v>107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1</v>
      </c>
      <c r="AJ83">
        <v>1</v>
      </c>
      <c r="AK83">
        <v>1525971929.5623</v>
      </c>
      <c r="AL83">
        <v>9</v>
      </c>
      <c r="AM83">
        <v>1</v>
      </c>
      <c r="AN83">
        <v>2019</v>
      </c>
      <c r="AO83" t="s">
        <v>59</v>
      </c>
      <c r="AP83">
        <v>3.5092427195981053E-2</v>
      </c>
      <c r="AQ83">
        <v>52609045.153046317</v>
      </c>
      <c r="AR83">
        <v>10273119.85028038</v>
      </c>
    </row>
    <row r="84" spans="1:44" x14ac:dyDescent="0.25">
      <c r="A84" s="1">
        <v>985</v>
      </c>
      <c r="B84">
        <v>738</v>
      </c>
      <c r="C84">
        <v>738</v>
      </c>
      <c r="D84">
        <v>738</v>
      </c>
      <c r="E84">
        <v>90</v>
      </c>
      <c r="F84" t="s">
        <v>105</v>
      </c>
      <c r="G84" s="2">
        <v>43465</v>
      </c>
      <c r="H84" t="s">
        <v>106</v>
      </c>
      <c r="I84" t="s">
        <v>100</v>
      </c>
      <c r="J84" t="s">
        <v>46</v>
      </c>
      <c r="K84">
        <v>73045081.908060893</v>
      </c>
      <c r="L84">
        <v>55182138.991123602</v>
      </c>
      <c r="M84">
        <v>541581678.57400596</v>
      </c>
      <c r="N84">
        <v>0.10189070490054079</v>
      </c>
      <c r="O84">
        <v>3.7567828129335637E-2</v>
      </c>
      <c r="P84">
        <v>1468866893.2669401</v>
      </c>
      <c r="Q84">
        <v>2018</v>
      </c>
      <c r="R84">
        <v>0</v>
      </c>
      <c r="S84">
        <v>0</v>
      </c>
      <c r="T84" t="s">
        <v>107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1</v>
      </c>
      <c r="AJ84">
        <v>1</v>
      </c>
      <c r="AK84">
        <v>1525971929.5623</v>
      </c>
      <c r="AL84">
        <v>9</v>
      </c>
      <c r="AM84">
        <v>1</v>
      </c>
      <c r="AN84">
        <v>2018</v>
      </c>
      <c r="AO84" t="s">
        <v>59</v>
      </c>
      <c r="AP84">
        <v>3.5092427195981053E-2</v>
      </c>
      <c r="AQ84">
        <v>51546104.51255697</v>
      </c>
      <c r="AR84">
        <v>21498977.39550392</v>
      </c>
    </row>
    <row r="85" spans="1:44" x14ac:dyDescent="0.25">
      <c r="A85" s="1">
        <v>986</v>
      </c>
      <c r="B85">
        <v>739</v>
      </c>
      <c r="C85">
        <v>739</v>
      </c>
      <c r="D85">
        <v>739</v>
      </c>
      <c r="E85">
        <v>91</v>
      </c>
      <c r="F85" t="s">
        <v>105</v>
      </c>
      <c r="G85" s="2">
        <v>43100</v>
      </c>
      <c r="H85" t="s">
        <v>106</v>
      </c>
      <c r="I85" t="s">
        <v>100</v>
      </c>
      <c r="J85" t="s">
        <v>46</v>
      </c>
      <c r="K85">
        <v>177797403.400309</v>
      </c>
      <c r="L85">
        <v>138929045.79842201</v>
      </c>
      <c r="M85">
        <v>558571121.77662098</v>
      </c>
      <c r="N85">
        <v>0.24872221348740139</v>
      </c>
      <c r="O85">
        <v>9.0350941048044281E-2</v>
      </c>
      <c r="P85">
        <v>1537660196.8599999</v>
      </c>
      <c r="Q85">
        <v>2017</v>
      </c>
      <c r="R85">
        <v>0</v>
      </c>
      <c r="S85">
        <v>0</v>
      </c>
      <c r="T85" t="s">
        <v>107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1</v>
      </c>
      <c r="AJ85">
        <v>1</v>
      </c>
      <c r="AK85">
        <v>1525971929.5623</v>
      </c>
      <c r="AL85">
        <v>9</v>
      </c>
      <c r="AM85">
        <v>1</v>
      </c>
      <c r="AN85">
        <v>2017</v>
      </c>
      <c r="AO85" t="s">
        <v>59</v>
      </c>
      <c r="AP85">
        <v>3.5092427195981053E-2</v>
      </c>
      <c r="AQ85">
        <v>53960228.51046744</v>
      </c>
      <c r="AR85">
        <v>123837174.8898416</v>
      </c>
    </row>
    <row r="86" spans="1:44" x14ac:dyDescent="0.25">
      <c r="A86" s="1">
        <v>1203</v>
      </c>
      <c r="B86">
        <v>740</v>
      </c>
      <c r="C86">
        <v>740</v>
      </c>
      <c r="D86">
        <v>740</v>
      </c>
      <c r="E86">
        <v>92</v>
      </c>
      <c r="F86" t="s">
        <v>105</v>
      </c>
      <c r="G86" s="2">
        <v>42735</v>
      </c>
      <c r="H86" t="s">
        <v>106</v>
      </c>
      <c r="I86" t="s">
        <v>100</v>
      </c>
      <c r="J86" t="s">
        <v>46</v>
      </c>
      <c r="K86">
        <v>90895469.826233804</v>
      </c>
      <c r="L86">
        <v>72478663.957327902</v>
      </c>
      <c r="M86">
        <v>479789360.366956</v>
      </c>
      <c r="N86">
        <v>0.1510635081651128</v>
      </c>
      <c r="O86">
        <v>5.3314143650363202E-2</v>
      </c>
      <c r="P86">
        <v>1359464093.2928901</v>
      </c>
      <c r="Q86">
        <v>2016</v>
      </c>
      <c r="R86">
        <v>0</v>
      </c>
      <c r="S86">
        <v>0</v>
      </c>
      <c r="T86" t="s">
        <v>107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1</v>
      </c>
      <c r="AJ86">
        <v>1</v>
      </c>
      <c r="AK86">
        <v>1525971929.5623</v>
      </c>
      <c r="AL86">
        <v>9</v>
      </c>
      <c r="AM86">
        <v>1</v>
      </c>
      <c r="AN86">
        <v>2016</v>
      </c>
      <c r="AO86" t="s">
        <v>62</v>
      </c>
      <c r="AP86">
        <v>3.5494312143141332E-2</v>
      </c>
      <c r="AQ86">
        <v>48253242.874730453</v>
      </c>
      <c r="AR86">
        <v>42642226.951503359</v>
      </c>
    </row>
    <row r="87" spans="1:44" x14ac:dyDescent="0.25">
      <c r="A87" s="1">
        <v>1204</v>
      </c>
      <c r="B87">
        <v>741</v>
      </c>
      <c r="C87">
        <v>741</v>
      </c>
      <c r="D87">
        <v>741</v>
      </c>
      <c r="E87">
        <v>93</v>
      </c>
      <c r="F87" t="s">
        <v>105</v>
      </c>
      <c r="G87" s="2">
        <v>42369</v>
      </c>
      <c r="H87" t="s">
        <v>106</v>
      </c>
      <c r="I87" t="s">
        <v>100</v>
      </c>
      <c r="J87" t="s">
        <v>46</v>
      </c>
      <c r="K87">
        <v>84771683.266228706</v>
      </c>
      <c r="L87">
        <v>66007996.044359699</v>
      </c>
      <c r="M87">
        <v>452484286.21883202</v>
      </c>
      <c r="N87">
        <v>0.14587909029052271</v>
      </c>
      <c r="O87">
        <v>5.2905336668797917E-2</v>
      </c>
      <c r="P87">
        <v>1247662338.0659699</v>
      </c>
      <c r="Q87">
        <v>2015</v>
      </c>
      <c r="R87">
        <v>0</v>
      </c>
      <c r="S87">
        <v>0</v>
      </c>
      <c r="T87" t="s">
        <v>107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1</v>
      </c>
      <c r="AJ87">
        <v>1</v>
      </c>
      <c r="AK87">
        <v>1525971929.5623</v>
      </c>
      <c r="AL87">
        <v>9</v>
      </c>
      <c r="AM87">
        <v>1</v>
      </c>
      <c r="AN87">
        <v>2015</v>
      </c>
      <c r="AO87" t="s">
        <v>62</v>
      </c>
      <c r="AP87">
        <v>3.5494312143141332E-2</v>
      </c>
      <c r="AQ87">
        <v>44284916.476555057</v>
      </c>
      <c r="AR87">
        <v>40486766.789673641</v>
      </c>
    </row>
    <row r="88" spans="1:44" x14ac:dyDescent="0.25">
      <c r="A88" s="1">
        <v>1205</v>
      </c>
      <c r="B88">
        <v>742</v>
      </c>
      <c r="C88">
        <v>742</v>
      </c>
      <c r="D88">
        <v>742</v>
      </c>
      <c r="E88">
        <v>94</v>
      </c>
      <c r="F88" t="s">
        <v>105</v>
      </c>
      <c r="G88" s="2">
        <v>42004</v>
      </c>
      <c r="H88" t="s">
        <v>106</v>
      </c>
      <c r="I88" t="s">
        <v>100</v>
      </c>
      <c r="J88" t="s">
        <v>46</v>
      </c>
      <c r="K88">
        <v>111080400.725594</v>
      </c>
      <c r="L88">
        <v>84792166.886543497</v>
      </c>
      <c r="M88">
        <v>486351433.04749298</v>
      </c>
      <c r="N88">
        <v>0.17434340915833879</v>
      </c>
      <c r="O88">
        <v>6.4378979694695429E-2</v>
      </c>
      <c r="P88">
        <v>1317078451.5171499</v>
      </c>
      <c r="Q88">
        <v>2014</v>
      </c>
      <c r="R88">
        <v>0</v>
      </c>
      <c r="S88">
        <v>0</v>
      </c>
      <c r="T88" t="s">
        <v>107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1</v>
      </c>
      <c r="AJ88">
        <v>1</v>
      </c>
      <c r="AK88">
        <v>1525971929.5623</v>
      </c>
      <c r="AL88">
        <v>9</v>
      </c>
      <c r="AM88">
        <v>1</v>
      </c>
      <c r="AN88">
        <v>2014</v>
      </c>
      <c r="AO88" t="s">
        <v>62</v>
      </c>
      <c r="AP88">
        <v>3.5494312143141332E-2</v>
      </c>
      <c r="AQ88">
        <v>46748793.675154947</v>
      </c>
      <c r="AR88">
        <v>64331607.050439037</v>
      </c>
    </row>
    <row r="89" spans="1:44" x14ac:dyDescent="0.25">
      <c r="A89" s="1">
        <v>1206</v>
      </c>
      <c r="B89">
        <v>743</v>
      </c>
      <c r="C89">
        <v>743</v>
      </c>
      <c r="D89">
        <v>743</v>
      </c>
      <c r="E89">
        <v>95</v>
      </c>
      <c r="F89" t="s">
        <v>105</v>
      </c>
      <c r="G89" s="2">
        <v>41639</v>
      </c>
      <c r="H89" t="s">
        <v>106</v>
      </c>
      <c r="I89" t="s">
        <v>100</v>
      </c>
      <c r="J89" t="s">
        <v>46</v>
      </c>
      <c r="K89">
        <v>118729687.79744899</v>
      </c>
      <c r="L89">
        <v>88462392.918332398</v>
      </c>
      <c r="M89">
        <v>509146480.10660601</v>
      </c>
      <c r="N89">
        <v>0.17374644895867691</v>
      </c>
      <c r="O89">
        <v>6.2476248296294931E-2</v>
      </c>
      <c r="P89">
        <v>1415936381.11555</v>
      </c>
      <c r="Q89">
        <v>2013</v>
      </c>
      <c r="R89">
        <v>0</v>
      </c>
      <c r="S89">
        <v>0</v>
      </c>
      <c r="T89" t="s">
        <v>107</v>
      </c>
      <c r="U89">
        <v>0</v>
      </c>
      <c r="V89">
        <v>0</v>
      </c>
      <c r="W89">
        <v>72500000</v>
      </c>
      <c r="X89">
        <v>0</v>
      </c>
      <c r="Y89" t="s">
        <v>131</v>
      </c>
      <c r="Z89">
        <v>0</v>
      </c>
      <c r="AA89">
        <v>1</v>
      </c>
      <c r="AB89">
        <v>0</v>
      </c>
      <c r="AC89">
        <v>1</v>
      </c>
      <c r="AD89">
        <v>0</v>
      </c>
      <c r="AE89" t="s">
        <v>107</v>
      </c>
      <c r="AF89">
        <v>0</v>
      </c>
      <c r="AG89">
        <v>0</v>
      </c>
      <c r="AH89">
        <v>0</v>
      </c>
      <c r="AI89">
        <v>1</v>
      </c>
      <c r="AJ89">
        <v>1</v>
      </c>
      <c r="AK89">
        <v>1525971929.5623</v>
      </c>
      <c r="AL89">
        <v>9</v>
      </c>
      <c r="AM89">
        <v>1</v>
      </c>
      <c r="AN89">
        <v>2013</v>
      </c>
      <c r="AO89" t="s">
        <v>62</v>
      </c>
      <c r="AP89">
        <v>3.5494312143141332E-2</v>
      </c>
      <c r="AQ89">
        <v>50257687.886145256</v>
      </c>
      <c r="AR89">
        <v>68471999.911303729</v>
      </c>
    </row>
    <row r="90" spans="1:44" x14ac:dyDescent="0.25">
      <c r="A90" s="1">
        <v>1743</v>
      </c>
      <c r="B90">
        <v>799</v>
      </c>
      <c r="C90">
        <v>799</v>
      </c>
      <c r="D90">
        <v>799</v>
      </c>
      <c r="E90">
        <v>153</v>
      </c>
      <c r="F90" t="s">
        <v>138</v>
      </c>
      <c r="G90" s="2">
        <v>45291</v>
      </c>
      <c r="H90" t="s">
        <v>139</v>
      </c>
      <c r="I90" t="s">
        <v>140</v>
      </c>
      <c r="J90" t="s">
        <v>46</v>
      </c>
      <c r="K90">
        <v>935497000</v>
      </c>
      <c r="L90">
        <v>258099000</v>
      </c>
      <c r="M90">
        <v>8088551000</v>
      </c>
      <c r="N90">
        <v>3.1909176316005178E-2</v>
      </c>
      <c r="O90">
        <v>3.1214137918648702E-2</v>
      </c>
      <c r="P90">
        <v>8268657000</v>
      </c>
      <c r="Q90">
        <v>2023</v>
      </c>
      <c r="R90">
        <v>0</v>
      </c>
      <c r="S90">
        <v>0</v>
      </c>
      <c r="T90" t="s">
        <v>141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2</v>
      </c>
      <c r="AJ90">
        <v>1</v>
      </c>
      <c r="AK90">
        <v>3968114181.8181801</v>
      </c>
      <c r="AL90">
        <v>10</v>
      </c>
      <c r="AM90">
        <v>1</v>
      </c>
      <c r="AN90">
        <v>2023</v>
      </c>
      <c r="AO90" t="s">
        <v>48</v>
      </c>
      <c r="AP90">
        <v>5.4677413288106429E-2</v>
      </c>
      <c r="AQ90">
        <v>452108776.12659419</v>
      </c>
      <c r="AR90">
        <v>483388223.87340581</v>
      </c>
    </row>
    <row r="91" spans="1:44" x14ac:dyDescent="0.25">
      <c r="A91" s="1">
        <v>1744</v>
      </c>
      <c r="B91">
        <v>800</v>
      </c>
      <c r="C91">
        <v>800</v>
      </c>
      <c r="D91">
        <v>800</v>
      </c>
      <c r="E91">
        <v>154</v>
      </c>
      <c r="F91" t="s">
        <v>138</v>
      </c>
      <c r="G91" s="2">
        <v>44926</v>
      </c>
      <c r="H91" t="s">
        <v>139</v>
      </c>
      <c r="I91" t="s">
        <v>140</v>
      </c>
      <c r="J91" t="s">
        <v>46</v>
      </c>
      <c r="K91">
        <v>5314116000</v>
      </c>
      <c r="L91">
        <v>5563278000</v>
      </c>
      <c r="M91">
        <v>7914497000</v>
      </c>
      <c r="N91">
        <v>0.70292249779107885</v>
      </c>
      <c r="O91">
        <v>0.54030374177821261</v>
      </c>
      <c r="P91">
        <v>10296575000</v>
      </c>
      <c r="Q91">
        <v>2022</v>
      </c>
      <c r="R91">
        <v>0</v>
      </c>
      <c r="S91">
        <v>0</v>
      </c>
      <c r="T91" t="s">
        <v>141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2</v>
      </c>
      <c r="AJ91">
        <v>1</v>
      </c>
      <c r="AK91">
        <v>3968114181.8181801</v>
      </c>
      <c r="AL91">
        <v>10</v>
      </c>
      <c r="AM91">
        <v>1</v>
      </c>
      <c r="AN91">
        <v>2022</v>
      </c>
      <c r="AO91" t="s">
        <v>48</v>
      </c>
      <c r="AP91">
        <v>5.4677413288106429E-2</v>
      </c>
      <c r="AQ91">
        <v>562990086.7269845</v>
      </c>
      <c r="AR91">
        <v>4751125913.273016</v>
      </c>
    </row>
    <row r="92" spans="1:44" x14ac:dyDescent="0.25">
      <c r="A92" s="1">
        <v>1745</v>
      </c>
      <c r="B92">
        <v>801</v>
      </c>
      <c r="C92">
        <v>801</v>
      </c>
      <c r="D92">
        <v>801</v>
      </c>
      <c r="E92">
        <v>155</v>
      </c>
      <c r="F92" t="s">
        <v>138</v>
      </c>
      <c r="G92" s="2">
        <v>44561</v>
      </c>
      <c r="H92" t="s">
        <v>139</v>
      </c>
      <c r="I92" t="s">
        <v>140</v>
      </c>
      <c r="J92" t="s">
        <v>46</v>
      </c>
      <c r="K92">
        <v>3177104000</v>
      </c>
      <c r="L92">
        <v>3210070000</v>
      </c>
      <c r="M92">
        <v>4882669000</v>
      </c>
      <c r="N92">
        <v>0.65744165742138161</v>
      </c>
      <c r="O92">
        <v>0.53277330840694626</v>
      </c>
      <c r="P92">
        <v>6025208000</v>
      </c>
      <c r="Q92">
        <v>2021</v>
      </c>
      <c r="R92">
        <v>0</v>
      </c>
      <c r="S92">
        <v>0</v>
      </c>
      <c r="T92" t="s">
        <v>141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2</v>
      </c>
      <c r="AJ92">
        <v>1</v>
      </c>
      <c r="AK92">
        <v>3968114181.8181801</v>
      </c>
      <c r="AL92">
        <v>10</v>
      </c>
      <c r="AM92">
        <v>1</v>
      </c>
      <c r="AN92">
        <v>2021</v>
      </c>
      <c r="AO92" t="s">
        <v>48</v>
      </c>
      <c r="AP92">
        <v>5.4677413288106429E-2</v>
      </c>
      <c r="AQ92">
        <v>329442787.96280521</v>
      </c>
      <c r="AR92">
        <v>2847661212.0371952</v>
      </c>
    </row>
    <row r="93" spans="1:44" x14ac:dyDescent="0.25">
      <c r="A93" s="1">
        <v>1746</v>
      </c>
      <c r="B93">
        <v>802</v>
      </c>
      <c r="C93">
        <v>802</v>
      </c>
      <c r="D93">
        <v>802</v>
      </c>
      <c r="E93">
        <v>156</v>
      </c>
      <c r="F93" t="s">
        <v>138</v>
      </c>
      <c r="G93" s="2">
        <v>44196</v>
      </c>
      <c r="H93" t="s">
        <v>139</v>
      </c>
      <c r="I93" t="s">
        <v>140</v>
      </c>
      <c r="J93" t="s">
        <v>46</v>
      </c>
      <c r="K93">
        <v>278297000</v>
      </c>
      <c r="L93">
        <v>222765000</v>
      </c>
      <c r="M93">
        <v>2722932000</v>
      </c>
      <c r="N93">
        <v>8.1810709925918088E-2</v>
      </c>
      <c r="O93">
        <v>7.3373732556178586E-2</v>
      </c>
      <c r="P93">
        <v>3036032000</v>
      </c>
      <c r="Q93">
        <v>2020</v>
      </c>
      <c r="R93">
        <v>0</v>
      </c>
      <c r="S93">
        <v>0</v>
      </c>
      <c r="T93" t="s">
        <v>141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2</v>
      </c>
      <c r="AJ93">
        <v>1</v>
      </c>
      <c r="AK93">
        <v>3968114181.8181801</v>
      </c>
      <c r="AL93">
        <v>10</v>
      </c>
      <c r="AM93">
        <v>1</v>
      </c>
      <c r="AN93">
        <v>2020</v>
      </c>
      <c r="AO93" t="s">
        <v>48</v>
      </c>
      <c r="AP93">
        <v>5.4677413288106429E-2</v>
      </c>
      <c r="AQ93">
        <v>166002376.4199163</v>
      </c>
      <c r="AR93">
        <v>112294623.5800837</v>
      </c>
    </row>
    <row r="94" spans="1:44" x14ac:dyDescent="0.25">
      <c r="A94" s="1">
        <v>1828</v>
      </c>
      <c r="B94">
        <v>803</v>
      </c>
      <c r="C94">
        <v>803</v>
      </c>
      <c r="D94">
        <v>803</v>
      </c>
      <c r="E94">
        <v>157</v>
      </c>
      <c r="F94" t="s">
        <v>138</v>
      </c>
      <c r="G94" s="2">
        <v>43830</v>
      </c>
      <c r="H94" t="s">
        <v>139</v>
      </c>
      <c r="I94" t="s">
        <v>140</v>
      </c>
      <c r="J94" t="s">
        <v>46</v>
      </c>
      <c r="K94">
        <v>130450000</v>
      </c>
      <c r="L94">
        <v>130300000</v>
      </c>
      <c r="M94">
        <v>2224187000</v>
      </c>
      <c r="N94">
        <v>5.8583203660483578E-2</v>
      </c>
      <c r="O94">
        <v>5.1760163344429518E-2</v>
      </c>
      <c r="P94">
        <v>2517380000</v>
      </c>
      <c r="Q94">
        <v>2019</v>
      </c>
      <c r="R94">
        <v>0</v>
      </c>
      <c r="S94">
        <v>0</v>
      </c>
      <c r="T94" t="s">
        <v>141</v>
      </c>
      <c r="U94">
        <v>0</v>
      </c>
      <c r="V94">
        <v>0</v>
      </c>
      <c r="W94">
        <v>100000000</v>
      </c>
      <c r="X94">
        <v>0</v>
      </c>
      <c r="Y94" t="s">
        <v>146</v>
      </c>
      <c r="Z94">
        <v>0</v>
      </c>
      <c r="AA94">
        <v>1</v>
      </c>
      <c r="AB94">
        <v>0</v>
      </c>
      <c r="AC94">
        <v>1</v>
      </c>
      <c r="AD94">
        <v>0</v>
      </c>
      <c r="AE94" t="s">
        <v>141</v>
      </c>
      <c r="AF94">
        <v>0</v>
      </c>
      <c r="AG94">
        <v>0</v>
      </c>
      <c r="AH94">
        <v>0</v>
      </c>
      <c r="AI94">
        <v>2</v>
      </c>
      <c r="AJ94">
        <v>1</v>
      </c>
      <c r="AK94">
        <v>3968114181.8181801</v>
      </c>
      <c r="AL94">
        <v>10</v>
      </c>
      <c r="AM94">
        <v>1</v>
      </c>
      <c r="AN94">
        <v>2019</v>
      </c>
      <c r="AO94" t="s">
        <v>59</v>
      </c>
      <c r="AP94">
        <v>3.0717388517610751E-2</v>
      </c>
      <c r="AQ94">
        <v>77327339.506462961</v>
      </c>
      <c r="AR94">
        <v>53122660.493537039</v>
      </c>
    </row>
    <row r="95" spans="1:44" x14ac:dyDescent="0.25">
      <c r="A95" s="1">
        <v>1829</v>
      </c>
      <c r="B95">
        <v>804</v>
      </c>
      <c r="C95">
        <v>804</v>
      </c>
      <c r="D95">
        <v>804</v>
      </c>
      <c r="E95">
        <v>158</v>
      </c>
      <c r="F95" t="s">
        <v>138</v>
      </c>
      <c r="G95" s="2">
        <v>43465</v>
      </c>
      <c r="H95" t="s">
        <v>139</v>
      </c>
      <c r="I95" t="s">
        <v>140</v>
      </c>
      <c r="J95" t="s">
        <v>46</v>
      </c>
      <c r="K95">
        <v>11609000</v>
      </c>
      <c r="L95">
        <v>18701000</v>
      </c>
      <c r="M95">
        <v>2130203000</v>
      </c>
      <c r="N95">
        <v>8.7789755248678172E-3</v>
      </c>
      <c r="O95">
        <v>8.2825592359548374E-3</v>
      </c>
      <c r="P95">
        <v>2257877000</v>
      </c>
      <c r="Q95">
        <v>2018</v>
      </c>
      <c r="R95">
        <v>0</v>
      </c>
      <c r="S95">
        <v>0</v>
      </c>
      <c r="T95" t="s">
        <v>141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2</v>
      </c>
      <c r="AJ95">
        <v>1</v>
      </c>
      <c r="AK95">
        <v>3968114181.8181801</v>
      </c>
      <c r="AL95">
        <v>10</v>
      </c>
      <c r="AM95">
        <v>1</v>
      </c>
      <c r="AN95">
        <v>2018</v>
      </c>
      <c r="AO95" t="s">
        <v>59</v>
      </c>
      <c r="AP95">
        <v>3.0717388517610751E-2</v>
      </c>
      <c r="AQ95">
        <v>69356085.033977419</v>
      </c>
      <c r="AR95">
        <v>-57747085.033977419</v>
      </c>
    </row>
    <row r="96" spans="1:44" x14ac:dyDescent="0.25">
      <c r="A96" s="1">
        <v>1830</v>
      </c>
      <c r="B96">
        <v>805</v>
      </c>
      <c r="C96">
        <v>805</v>
      </c>
      <c r="D96">
        <v>805</v>
      </c>
      <c r="E96">
        <v>159</v>
      </c>
      <c r="F96" t="s">
        <v>138</v>
      </c>
      <c r="G96" s="2">
        <v>43100</v>
      </c>
      <c r="H96" t="s">
        <v>139</v>
      </c>
      <c r="I96" t="s">
        <v>140</v>
      </c>
      <c r="J96" t="s">
        <v>46</v>
      </c>
      <c r="K96">
        <v>-141617000</v>
      </c>
      <c r="L96">
        <v>-186830000</v>
      </c>
      <c r="M96">
        <v>2117457000</v>
      </c>
      <c r="N96">
        <v>-8.8233196707182243E-2</v>
      </c>
      <c r="O96">
        <v>-8.2450559673498791E-2</v>
      </c>
      <c r="P96">
        <v>2265964000</v>
      </c>
      <c r="Q96">
        <v>2017</v>
      </c>
      <c r="R96">
        <v>0</v>
      </c>
      <c r="S96">
        <v>0</v>
      </c>
      <c r="T96" t="s">
        <v>141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2</v>
      </c>
      <c r="AJ96">
        <v>1</v>
      </c>
      <c r="AK96">
        <v>3968114181.8181801</v>
      </c>
      <c r="AL96">
        <v>10</v>
      </c>
      <c r="AM96">
        <v>1</v>
      </c>
      <c r="AN96">
        <v>2017</v>
      </c>
      <c r="AO96" t="s">
        <v>59</v>
      </c>
      <c r="AP96">
        <v>3.0717388517610751E-2</v>
      </c>
      <c r="AQ96">
        <v>69604496.554919332</v>
      </c>
      <c r="AR96">
        <v>-211221496.5549193</v>
      </c>
    </row>
    <row r="97" spans="1:44" x14ac:dyDescent="0.25">
      <c r="A97" s="1">
        <v>1897</v>
      </c>
      <c r="B97">
        <v>806</v>
      </c>
      <c r="C97">
        <v>806</v>
      </c>
      <c r="D97">
        <v>806</v>
      </c>
      <c r="E97">
        <v>160</v>
      </c>
      <c r="F97" t="s">
        <v>138</v>
      </c>
      <c r="G97" s="2">
        <v>42735</v>
      </c>
      <c r="H97" t="s">
        <v>139</v>
      </c>
      <c r="I97" t="s">
        <v>140</v>
      </c>
      <c r="J97" t="s">
        <v>46</v>
      </c>
      <c r="K97">
        <v>-3036000</v>
      </c>
      <c r="L97">
        <v>-23634000</v>
      </c>
      <c r="M97">
        <v>2006464000</v>
      </c>
      <c r="N97">
        <v>-1.1778930496634881E-2</v>
      </c>
      <c r="O97">
        <v>-1.0900492076457491E-2</v>
      </c>
      <c r="P97">
        <v>2168159000</v>
      </c>
      <c r="Q97">
        <v>2016</v>
      </c>
      <c r="R97">
        <v>0</v>
      </c>
      <c r="S97">
        <v>0</v>
      </c>
      <c r="T97" t="s">
        <v>141</v>
      </c>
      <c r="U97">
        <v>0</v>
      </c>
      <c r="V97">
        <v>0</v>
      </c>
      <c r="W97">
        <v>50000000</v>
      </c>
      <c r="X97">
        <v>0</v>
      </c>
      <c r="Y97" t="s">
        <v>146</v>
      </c>
      <c r="Z97">
        <v>0</v>
      </c>
      <c r="AA97">
        <v>1</v>
      </c>
      <c r="AB97">
        <v>0</v>
      </c>
      <c r="AC97">
        <v>1</v>
      </c>
      <c r="AD97">
        <v>0</v>
      </c>
      <c r="AE97" t="s">
        <v>141</v>
      </c>
      <c r="AF97">
        <v>0</v>
      </c>
      <c r="AG97">
        <v>0</v>
      </c>
      <c r="AH97">
        <v>0</v>
      </c>
      <c r="AI97">
        <v>2</v>
      </c>
      <c r="AJ97">
        <v>1</v>
      </c>
      <c r="AK97">
        <v>3968114181.8181801</v>
      </c>
      <c r="AL97">
        <v>10</v>
      </c>
      <c r="AM97">
        <v>1</v>
      </c>
      <c r="AN97">
        <v>2016</v>
      </c>
      <c r="AO97" t="s">
        <v>62</v>
      </c>
      <c r="AP97">
        <v>4.6522305896109353E-2</v>
      </c>
      <c r="AQ97">
        <v>100867756.2294026</v>
      </c>
      <c r="AR97">
        <v>-103903756.2294026</v>
      </c>
    </row>
    <row r="98" spans="1:44" x14ac:dyDescent="0.25">
      <c r="A98" s="1">
        <v>1898</v>
      </c>
      <c r="B98">
        <v>807</v>
      </c>
      <c r="C98">
        <v>807</v>
      </c>
      <c r="D98">
        <v>807</v>
      </c>
      <c r="E98">
        <v>161</v>
      </c>
      <c r="F98" t="s">
        <v>138</v>
      </c>
      <c r="G98" s="2">
        <v>42369</v>
      </c>
      <c r="H98" t="s">
        <v>139</v>
      </c>
      <c r="I98" t="s">
        <v>140</v>
      </c>
      <c r="J98" t="s">
        <v>46</v>
      </c>
      <c r="K98">
        <v>-20351000</v>
      </c>
      <c r="L98">
        <v>-14256000</v>
      </c>
      <c r="M98">
        <v>2042430000</v>
      </c>
      <c r="N98">
        <v>-6.9799209764838943E-3</v>
      </c>
      <c r="O98">
        <v>-6.4051240992794231E-3</v>
      </c>
      <c r="P98">
        <v>2225718000</v>
      </c>
      <c r="Q98">
        <v>2015</v>
      </c>
      <c r="R98">
        <v>0</v>
      </c>
      <c r="S98">
        <v>0</v>
      </c>
      <c r="T98" t="s">
        <v>141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2</v>
      </c>
      <c r="AJ98">
        <v>1</v>
      </c>
      <c r="AK98">
        <v>3968114181.8181801</v>
      </c>
      <c r="AL98">
        <v>10</v>
      </c>
      <c r="AM98">
        <v>1</v>
      </c>
      <c r="AN98">
        <v>2015</v>
      </c>
      <c r="AO98" t="s">
        <v>62</v>
      </c>
      <c r="AP98">
        <v>4.6522305896109353E-2</v>
      </c>
      <c r="AQ98">
        <v>103545533.63447671</v>
      </c>
      <c r="AR98">
        <v>-123896533.63447671</v>
      </c>
    </row>
    <row r="99" spans="1:44" x14ac:dyDescent="0.25">
      <c r="A99" s="1">
        <v>1899</v>
      </c>
      <c r="B99">
        <v>808</v>
      </c>
      <c r="C99">
        <v>808</v>
      </c>
      <c r="D99">
        <v>808</v>
      </c>
      <c r="E99">
        <v>162</v>
      </c>
      <c r="F99" t="s">
        <v>138</v>
      </c>
      <c r="G99" s="2">
        <v>42004</v>
      </c>
      <c r="H99" t="s">
        <v>139</v>
      </c>
      <c r="I99" t="s">
        <v>140</v>
      </c>
      <c r="J99" t="s">
        <v>46</v>
      </c>
      <c r="K99">
        <v>747530000</v>
      </c>
      <c r="L99">
        <v>620071000</v>
      </c>
      <c r="M99">
        <v>1890067000</v>
      </c>
      <c r="N99">
        <v>0.3280682642467172</v>
      </c>
      <c r="O99">
        <v>0.28050238558057122</v>
      </c>
      <c r="P99">
        <v>2210573000</v>
      </c>
      <c r="Q99">
        <v>2014</v>
      </c>
      <c r="R99">
        <v>0</v>
      </c>
      <c r="S99">
        <v>0</v>
      </c>
      <c r="T99" t="s">
        <v>141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2</v>
      </c>
      <c r="AJ99">
        <v>1</v>
      </c>
      <c r="AK99">
        <v>3968114181.8181801</v>
      </c>
      <c r="AL99">
        <v>10</v>
      </c>
      <c r="AM99">
        <v>1</v>
      </c>
      <c r="AN99">
        <v>2014</v>
      </c>
      <c r="AO99" t="s">
        <v>62</v>
      </c>
      <c r="AP99">
        <v>4.6522305896109353E-2</v>
      </c>
      <c r="AQ99">
        <v>102840953.31168009</v>
      </c>
      <c r="AR99">
        <v>644689046.68831992</v>
      </c>
    </row>
    <row r="100" spans="1:44" x14ac:dyDescent="0.25">
      <c r="A100" s="1">
        <v>1900</v>
      </c>
      <c r="B100">
        <v>809</v>
      </c>
      <c r="C100">
        <v>809</v>
      </c>
      <c r="D100">
        <v>809</v>
      </c>
      <c r="E100">
        <v>163</v>
      </c>
      <c r="F100" t="s">
        <v>138</v>
      </c>
      <c r="G100" s="2">
        <v>41639</v>
      </c>
      <c r="H100" t="s">
        <v>139</v>
      </c>
      <c r="I100" t="s">
        <v>140</v>
      </c>
      <c r="J100" t="s">
        <v>46</v>
      </c>
      <c r="K100">
        <v>3081000</v>
      </c>
      <c r="L100">
        <v>46206000</v>
      </c>
      <c r="M100">
        <v>1016423000</v>
      </c>
      <c r="N100">
        <v>4.5459419946223177E-2</v>
      </c>
      <c r="O100">
        <v>1.943786433375275E-2</v>
      </c>
      <c r="P100">
        <v>2377113000</v>
      </c>
      <c r="Q100">
        <v>2013</v>
      </c>
      <c r="R100">
        <v>0</v>
      </c>
      <c r="S100">
        <v>0</v>
      </c>
      <c r="T100" t="s">
        <v>141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2</v>
      </c>
      <c r="AJ100">
        <v>1</v>
      </c>
      <c r="AK100">
        <v>3968114181.8181801</v>
      </c>
      <c r="AL100">
        <v>10</v>
      </c>
      <c r="AM100">
        <v>1</v>
      </c>
      <c r="AN100">
        <v>2013</v>
      </c>
      <c r="AO100" t="s">
        <v>62</v>
      </c>
      <c r="AP100">
        <v>4.6522305896109353E-2</v>
      </c>
      <c r="AQ100">
        <v>110588778.13561819</v>
      </c>
      <c r="AR100">
        <v>-107507778.13561819</v>
      </c>
    </row>
    <row r="101" spans="1:44" x14ac:dyDescent="0.25">
      <c r="A101" s="1">
        <v>577</v>
      </c>
      <c r="B101">
        <v>887</v>
      </c>
      <c r="C101">
        <v>887</v>
      </c>
      <c r="D101">
        <v>887</v>
      </c>
      <c r="E101">
        <v>18100</v>
      </c>
      <c r="F101">
        <v>4296497965</v>
      </c>
      <c r="G101" s="2">
        <v>45291</v>
      </c>
      <c r="H101" t="s">
        <v>96</v>
      </c>
      <c r="I101" t="s">
        <v>93</v>
      </c>
      <c r="J101" t="s">
        <v>46</v>
      </c>
      <c r="K101">
        <v>-99.037000000000006</v>
      </c>
      <c r="L101">
        <v>66.879000000000005</v>
      </c>
      <c r="M101">
        <v>10349.695</v>
      </c>
      <c r="N101">
        <v>6.4619295544458078E-3</v>
      </c>
      <c r="O101">
        <v>1.42671401516606E-3</v>
      </c>
      <c r="P101">
        <v>46876.248</v>
      </c>
      <c r="Q101">
        <v>2023</v>
      </c>
      <c r="R101">
        <v>0</v>
      </c>
      <c r="S101">
        <v>0</v>
      </c>
      <c r="T101">
        <v>4296</v>
      </c>
      <c r="U101">
        <v>0</v>
      </c>
      <c r="V101">
        <v>0</v>
      </c>
      <c r="W101">
        <v>0</v>
      </c>
      <c r="X101">
        <v>3400000000</v>
      </c>
      <c r="Y101" t="s">
        <v>97</v>
      </c>
      <c r="Z101">
        <v>0</v>
      </c>
      <c r="AA101">
        <v>1</v>
      </c>
      <c r="AB101">
        <v>0</v>
      </c>
      <c r="AC101">
        <v>0</v>
      </c>
      <c r="AD101">
        <v>1</v>
      </c>
      <c r="AE101" t="s">
        <v>98</v>
      </c>
      <c r="AF101">
        <v>0</v>
      </c>
      <c r="AG101">
        <v>0</v>
      </c>
      <c r="AH101">
        <v>0</v>
      </c>
      <c r="AI101">
        <v>9</v>
      </c>
      <c r="AJ101">
        <v>1</v>
      </c>
      <c r="AK101">
        <v>38728.239272727202</v>
      </c>
      <c r="AL101">
        <v>5</v>
      </c>
      <c r="AM101">
        <v>1</v>
      </c>
      <c r="AN101">
        <v>2023</v>
      </c>
      <c r="AO101" t="s">
        <v>48</v>
      </c>
      <c r="AP101">
        <v>-3.8963866899207919E-3</v>
      </c>
      <c r="AQ101">
        <v>-182.64798878062621</v>
      </c>
      <c r="AR101">
        <v>83.610988780626144</v>
      </c>
    </row>
    <row r="102" spans="1:44" x14ac:dyDescent="0.25">
      <c r="A102" s="1">
        <v>578</v>
      </c>
      <c r="B102">
        <v>888</v>
      </c>
      <c r="C102">
        <v>888</v>
      </c>
      <c r="D102">
        <v>888</v>
      </c>
      <c r="E102">
        <v>18101</v>
      </c>
      <c r="F102">
        <v>4296497965</v>
      </c>
      <c r="G102" s="2">
        <v>44926</v>
      </c>
      <c r="H102" t="s">
        <v>96</v>
      </c>
      <c r="I102" t="s">
        <v>93</v>
      </c>
      <c r="J102" t="s">
        <v>46</v>
      </c>
      <c r="K102">
        <v>1443.25</v>
      </c>
      <c r="L102">
        <v>309.58</v>
      </c>
      <c r="M102">
        <v>10740.482</v>
      </c>
      <c r="N102">
        <v>2.882365986926844E-2</v>
      </c>
      <c r="O102">
        <v>6.9199632198970193E-3</v>
      </c>
      <c r="P102">
        <v>44737.232000000004</v>
      </c>
      <c r="Q102">
        <v>2022</v>
      </c>
      <c r="R102">
        <v>0</v>
      </c>
      <c r="S102">
        <v>0</v>
      </c>
      <c r="T102">
        <v>4296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9</v>
      </c>
      <c r="AJ102">
        <v>1</v>
      </c>
      <c r="AK102">
        <v>38728.239272727202</v>
      </c>
      <c r="AL102">
        <v>5</v>
      </c>
      <c r="AM102">
        <v>1</v>
      </c>
      <c r="AN102">
        <v>2022</v>
      </c>
      <c r="AO102" t="s">
        <v>48</v>
      </c>
      <c r="AP102">
        <v>-3.8963866899207919E-3</v>
      </c>
      <c r="AQ102">
        <v>-174.3135553086986</v>
      </c>
      <c r="AR102">
        <v>1617.5635553086991</v>
      </c>
    </row>
    <row r="103" spans="1:44" x14ac:dyDescent="0.25">
      <c r="A103" s="1">
        <v>579</v>
      </c>
      <c r="B103">
        <v>889</v>
      </c>
      <c r="C103">
        <v>889</v>
      </c>
      <c r="D103">
        <v>889</v>
      </c>
      <c r="E103">
        <v>18102</v>
      </c>
      <c r="F103">
        <v>4296497965</v>
      </c>
      <c r="G103" s="2">
        <v>44561</v>
      </c>
      <c r="H103" t="s">
        <v>96</v>
      </c>
      <c r="I103" t="s">
        <v>93</v>
      </c>
      <c r="J103" t="s">
        <v>46</v>
      </c>
      <c r="K103">
        <v>5491.8590000000004</v>
      </c>
      <c r="L103">
        <v>1636.5229999999999</v>
      </c>
      <c r="M103">
        <v>10628.489</v>
      </c>
      <c r="N103">
        <v>0.15397513230714169</v>
      </c>
      <c r="O103">
        <v>3.8007907345154211E-2</v>
      </c>
      <c r="P103">
        <v>43057.434999999998</v>
      </c>
      <c r="Q103">
        <v>2021</v>
      </c>
      <c r="R103">
        <v>0</v>
      </c>
      <c r="S103">
        <v>0</v>
      </c>
      <c r="T103">
        <v>4296</v>
      </c>
      <c r="U103">
        <v>0</v>
      </c>
      <c r="V103">
        <v>0</v>
      </c>
      <c r="W103">
        <v>0</v>
      </c>
      <c r="X103">
        <v>780000000</v>
      </c>
      <c r="Y103" t="s">
        <v>97</v>
      </c>
      <c r="Z103">
        <v>0</v>
      </c>
      <c r="AA103">
        <v>1</v>
      </c>
      <c r="AB103">
        <v>0</v>
      </c>
      <c r="AC103">
        <v>0</v>
      </c>
      <c r="AD103">
        <v>1</v>
      </c>
      <c r="AE103" t="s">
        <v>98</v>
      </c>
      <c r="AF103">
        <v>0</v>
      </c>
      <c r="AG103">
        <v>0</v>
      </c>
      <c r="AH103">
        <v>0</v>
      </c>
      <c r="AI103">
        <v>9</v>
      </c>
      <c r="AJ103">
        <v>1</v>
      </c>
      <c r="AK103">
        <v>38728.239272727202</v>
      </c>
      <c r="AL103">
        <v>5</v>
      </c>
      <c r="AM103">
        <v>1</v>
      </c>
      <c r="AN103">
        <v>2021</v>
      </c>
      <c r="AO103" t="s">
        <v>48</v>
      </c>
      <c r="AP103">
        <v>-3.8963866899207919E-3</v>
      </c>
      <c r="AQ103">
        <v>-167.7684166361297</v>
      </c>
      <c r="AR103">
        <v>5659.62741663613</v>
      </c>
    </row>
    <row r="104" spans="1:44" x14ac:dyDescent="0.25">
      <c r="A104" s="1">
        <v>580</v>
      </c>
      <c r="B104">
        <v>890</v>
      </c>
      <c r="C104">
        <v>890</v>
      </c>
      <c r="D104">
        <v>890</v>
      </c>
      <c r="E104">
        <v>18103</v>
      </c>
      <c r="F104">
        <v>4296497965</v>
      </c>
      <c r="G104" s="2">
        <v>44196</v>
      </c>
      <c r="H104" t="s">
        <v>96</v>
      </c>
      <c r="I104" t="s">
        <v>93</v>
      </c>
      <c r="J104" t="s">
        <v>46</v>
      </c>
      <c r="K104">
        <v>1004.448</v>
      </c>
      <c r="L104">
        <v>217.44499999999999</v>
      </c>
      <c r="M104">
        <v>10701.549000000001</v>
      </c>
      <c r="N104">
        <v>2.031902110619687E-2</v>
      </c>
      <c r="O104">
        <v>5.15145727404625E-3</v>
      </c>
      <c r="P104">
        <v>42210.385999999999</v>
      </c>
      <c r="Q104">
        <v>2020</v>
      </c>
      <c r="R104">
        <v>0</v>
      </c>
      <c r="S104">
        <v>0</v>
      </c>
      <c r="T104">
        <v>4296</v>
      </c>
      <c r="U104">
        <v>0</v>
      </c>
      <c r="V104">
        <v>500000000</v>
      </c>
      <c r="W104">
        <v>0</v>
      </c>
      <c r="X104">
        <v>2800000000</v>
      </c>
      <c r="Y104" t="s">
        <v>97</v>
      </c>
      <c r="Z104">
        <v>0</v>
      </c>
      <c r="AA104">
        <v>1</v>
      </c>
      <c r="AB104">
        <v>1</v>
      </c>
      <c r="AC104">
        <v>0</v>
      </c>
      <c r="AD104">
        <v>1</v>
      </c>
      <c r="AE104" t="s">
        <v>98</v>
      </c>
      <c r="AF104">
        <v>0</v>
      </c>
      <c r="AG104">
        <v>0</v>
      </c>
      <c r="AH104">
        <v>0</v>
      </c>
      <c r="AI104">
        <v>9</v>
      </c>
      <c r="AJ104">
        <v>1</v>
      </c>
      <c r="AK104">
        <v>38728.239272727202</v>
      </c>
      <c r="AL104">
        <v>5</v>
      </c>
      <c r="AM104">
        <v>1</v>
      </c>
      <c r="AN104">
        <v>2020</v>
      </c>
      <c r="AO104" t="s">
        <v>48</v>
      </c>
      <c r="AP104">
        <v>-3.8963866899207919E-3</v>
      </c>
      <c r="AQ104">
        <v>-164.46798618681899</v>
      </c>
      <c r="AR104">
        <v>1168.9159861868191</v>
      </c>
    </row>
    <row r="105" spans="1:44" x14ac:dyDescent="0.25">
      <c r="A105" s="1">
        <v>610</v>
      </c>
      <c r="B105">
        <v>891</v>
      </c>
      <c r="C105">
        <v>891</v>
      </c>
      <c r="D105">
        <v>891</v>
      </c>
      <c r="E105">
        <v>18104</v>
      </c>
      <c r="F105">
        <v>4296497965</v>
      </c>
      <c r="G105" s="2">
        <v>43830</v>
      </c>
      <c r="H105" t="s">
        <v>96</v>
      </c>
      <c r="I105" t="s">
        <v>93</v>
      </c>
      <c r="J105" t="s">
        <v>46</v>
      </c>
      <c r="K105">
        <v>394.57</v>
      </c>
      <c r="L105">
        <v>1.325</v>
      </c>
      <c r="M105">
        <v>10714.91</v>
      </c>
      <c r="N105">
        <v>1.236594614420466E-4</v>
      </c>
      <c r="O105">
        <v>3.2842056650391302E-5</v>
      </c>
      <c r="P105">
        <v>40344.610999999997</v>
      </c>
      <c r="Q105">
        <v>2019</v>
      </c>
      <c r="R105">
        <v>0</v>
      </c>
      <c r="S105">
        <v>0</v>
      </c>
      <c r="T105">
        <v>4296</v>
      </c>
      <c r="U105">
        <v>0</v>
      </c>
      <c r="V105">
        <v>194113249</v>
      </c>
      <c r="W105">
        <v>0</v>
      </c>
      <c r="X105">
        <v>5126920978</v>
      </c>
      <c r="Y105" t="s">
        <v>97</v>
      </c>
      <c r="Z105">
        <v>0</v>
      </c>
      <c r="AA105">
        <v>1</v>
      </c>
      <c r="AB105">
        <v>1</v>
      </c>
      <c r="AC105">
        <v>0</v>
      </c>
      <c r="AD105">
        <v>1</v>
      </c>
      <c r="AE105" t="s">
        <v>98</v>
      </c>
      <c r="AF105">
        <v>0</v>
      </c>
      <c r="AG105">
        <v>0</v>
      </c>
      <c r="AH105">
        <v>0</v>
      </c>
      <c r="AI105">
        <v>9</v>
      </c>
      <c r="AJ105">
        <v>1</v>
      </c>
      <c r="AK105">
        <v>38728.239272727202</v>
      </c>
      <c r="AL105">
        <v>5</v>
      </c>
      <c r="AM105">
        <v>1</v>
      </c>
      <c r="AN105">
        <v>2019</v>
      </c>
      <c r="AO105" t="s">
        <v>59</v>
      </c>
      <c r="AP105">
        <v>-8.5563410842011498E-3</v>
      </c>
      <c r="AQ105">
        <v>-345.20225262541362</v>
      </c>
      <c r="AR105">
        <v>739.77225262541356</v>
      </c>
    </row>
    <row r="106" spans="1:44" x14ac:dyDescent="0.25">
      <c r="A106" s="1">
        <v>611</v>
      </c>
      <c r="B106">
        <v>892</v>
      </c>
      <c r="C106">
        <v>892</v>
      </c>
      <c r="D106">
        <v>892</v>
      </c>
      <c r="E106">
        <v>18105</v>
      </c>
      <c r="F106">
        <v>4296497965</v>
      </c>
      <c r="G106" s="2">
        <v>43465</v>
      </c>
      <c r="H106" t="s">
        <v>96</v>
      </c>
      <c r="I106" t="s">
        <v>93</v>
      </c>
      <c r="J106" t="s">
        <v>46</v>
      </c>
      <c r="K106">
        <v>427.916</v>
      </c>
      <c r="L106">
        <v>70.632999999999996</v>
      </c>
      <c r="M106">
        <v>10374.665000000001</v>
      </c>
      <c r="N106">
        <v>6.8082198316764906E-3</v>
      </c>
      <c r="O106">
        <v>1.9043264226807691E-3</v>
      </c>
      <c r="P106">
        <v>37090.805</v>
      </c>
      <c r="Q106">
        <v>2018</v>
      </c>
      <c r="R106">
        <v>0</v>
      </c>
      <c r="S106">
        <v>0</v>
      </c>
      <c r="T106">
        <v>4296</v>
      </c>
      <c r="U106">
        <v>0</v>
      </c>
      <c r="V106">
        <v>0</v>
      </c>
      <c r="W106">
        <v>0</v>
      </c>
      <c r="X106">
        <v>600000000</v>
      </c>
      <c r="Y106" t="s">
        <v>97</v>
      </c>
      <c r="Z106">
        <v>0</v>
      </c>
      <c r="AA106">
        <v>1</v>
      </c>
      <c r="AB106">
        <v>0</v>
      </c>
      <c r="AC106">
        <v>0</v>
      </c>
      <c r="AD106">
        <v>1</v>
      </c>
      <c r="AE106" t="s">
        <v>98</v>
      </c>
      <c r="AF106">
        <v>0</v>
      </c>
      <c r="AG106">
        <v>0</v>
      </c>
      <c r="AH106">
        <v>0</v>
      </c>
      <c r="AI106">
        <v>9</v>
      </c>
      <c r="AJ106">
        <v>1</v>
      </c>
      <c r="AK106">
        <v>38728.239272727202</v>
      </c>
      <c r="AL106">
        <v>5</v>
      </c>
      <c r="AM106">
        <v>1</v>
      </c>
      <c r="AN106">
        <v>2018</v>
      </c>
      <c r="AO106" t="s">
        <v>59</v>
      </c>
      <c r="AP106">
        <v>-8.5563410842011498E-3</v>
      </c>
      <c r="AQ106">
        <v>-317.36157866759339</v>
      </c>
      <c r="AR106">
        <v>745.27757866759339</v>
      </c>
    </row>
    <row r="107" spans="1:44" x14ac:dyDescent="0.25">
      <c r="A107" s="1">
        <v>612</v>
      </c>
      <c r="B107">
        <v>893</v>
      </c>
      <c r="C107">
        <v>893</v>
      </c>
      <c r="D107">
        <v>893</v>
      </c>
      <c r="E107">
        <v>18106</v>
      </c>
      <c r="F107">
        <v>4296497965</v>
      </c>
      <c r="G107" s="2">
        <v>43100</v>
      </c>
      <c r="H107" t="s">
        <v>96</v>
      </c>
      <c r="I107" t="s">
        <v>93</v>
      </c>
      <c r="J107" t="s">
        <v>46</v>
      </c>
      <c r="K107">
        <v>1631.241</v>
      </c>
      <c r="L107">
        <v>438.17399999999998</v>
      </c>
      <c r="M107">
        <v>9917.8430000000008</v>
      </c>
      <c r="N107">
        <v>4.4180372687891913E-2</v>
      </c>
      <c r="O107">
        <v>1.2052269243867221E-2</v>
      </c>
      <c r="P107">
        <v>36356.141000000003</v>
      </c>
      <c r="Q107">
        <v>2017</v>
      </c>
      <c r="R107">
        <v>0</v>
      </c>
      <c r="S107">
        <v>0</v>
      </c>
      <c r="T107">
        <v>4296</v>
      </c>
      <c r="U107">
        <v>0</v>
      </c>
      <c r="V107">
        <v>0</v>
      </c>
      <c r="W107">
        <v>0</v>
      </c>
      <c r="X107">
        <v>2750000000</v>
      </c>
      <c r="Y107" t="s">
        <v>97</v>
      </c>
      <c r="Z107">
        <v>0</v>
      </c>
      <c r="AA107">
        <v>1</v>
      </c>
      <c r="AB107">
        <v>0</v>
      </c>
      <c r="AC107">
        <v>0</v>
      </c>
      <c r="AD107">
        <v>1</v>
      </c>
      <c r="AE107" t="s">
        <v>98</v>
      </c>
      <c r="AF107">
        <v>0</v>
      </c>
      <c r="AG107">
        <v>0</v>
      </c>
      <c r="AH107">
        <v>0</v>
      </c>
      <c r="AI107">
        <v>9</v>
      </c>
      <c r="AJ107">
        <v>1</v>
      </c>
      <c r="AK107">
        <v>38728.239272727202</v>
      </c>
      <c r="AL107">
        <v>5</v>
      </c>
      <c r="AM107">
        <v>1</v>
      </c>
      <c r="AN107">
        <v>2017</v>
      </c>
      <c r="AO107" t="s">
        <v>59</v>
      </c>
      <c r="AP107">
        <v>-8.5563410842011498E-3</v>
      </c>
      <c r="AQ107">
        <v>-311.07554290130992</v>
      </c>
      <c r="AR107">
        <v>1942.31654290131</v>
      </c>
    </row>
    <row r="108" spans="1:44" x14ac:dyDescent="0.25">
      <c r="A108" s="1">
        <v>2277</v>
      </c>
      <c r="B108">
        <v>894</v>
      </c>
      <c r="C108">
        <v>894</v>
      </c>
      <c r="D108">
        <v>894</v>
      </c>
      <c r="E108">
        <v>18107</v>
      </c>
      <c r="F108">
        <v>4296497965</v>
      </c>
      <c r="G108" s="2">
        <v>42735</v>
      </c>
      <c r="H108" t="s">
        <v>96</v>
      </c>
      <c r="I108" t="s">
        <v>93</v>
      </c>
      <c r="J108" t="s">
        <v>46</v>
      </c>
      <c r="K108">
        <v>-253.31800000000001</v>
      </c>
      <c r="L108">
        <v>-156.22200000000001</v>
      </c>
      <c r="M108">
        <v>8911.7430000000004</v>
      </c>
      <c r="N108">
        <v>-1.7529904082736681E-2</v>
      </c>
      <c r="O108">
        <v>-4.6743482341859779E-3</v>
      </c>
      <c r="P108">
        <v>33421.129999999997</v>
      </c>
      <c r="Q108">
        <v>2016</v>
      </c>
      <c r="R108">
        <v>0</v>
      </c>
      <c r="S108">
        <v>0</v>
      </c>
      <c r="T108">
        <v>4296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9</v>
      </c>
      <c r="AJ108">
        <v>1</v>
      </c>
      <c r="AK108">
        <v>38728.239272727202</v>
      </c>
      <c r="AL108">
        <v>5</v>
      </c>
      <c r="AM108">
        <v>1</v>
      </c>
      <c r="AN108">
        <v>2016</v>
      </c>
      <c r="AO108" t="s">
        <v>62</v>
      </c>
      <c r="AP108">
        <v>1.8725788236665511E-4</v>
      </c>
      <c r="AQ108">
        <v>6.2583700301006884</v>
      </c>
      <c r="AR108">
        <v>-259.57637003010069</v>
      </c>
    </row>
    <row r="109" spans="1:44" x14ac:dyDescent="0.25">
      <c r="A109" s="1">
        <v>2278</v>
      </c>
      <c r="B109">
        <v>895</v>
      </c>
      <c r="C109">
        <v>895</v>
      </c>
      <c r="D109">
        <v>895</v>
      </c>
      <c r="E109">
        <v>18108</v>
      </c>
      <c r="F109">
        <v>4296497965</v>
      </c>
      <c r="G109" s="2">
        <v>42369</v>
      </c>
      <c r="H109" t="s">
        <v>96</v>
      </c>
      <c r="I109" t="s">
        <v>93</v>
      </c>
      <c r="J109" t="s">
        <v>46</v>
      </c>
      <c r="K109">
        <v>-554.52499999999998</v>
      </c>
      <c r="L109">
        <v>173.87299999999999</v>
      </c>
      <c r="M109">
        <v>8689.9660000000003</v>
      </c>
      <c r="N109">
        <v>2.0008478744335711E-2</v>
      </c>
      <c r="O109">
        <v>5.220640857362944E-3</v>
      </c>
      <c r="P109">
        <v>33304.915000000001</v>
      </c>
      <c r="Q109">
        <v>2015</v>
      </c>
      <c r="R109">
        <v>0</v>
      </c>
      <c r="S109">
        <v>0</v>
      </c>
      <c r="T109">
        <v>4296</v>
      </c>
      <c r="U109">
        <v>0</v>
      </c>
      <c r="V109">
        <v>0</v>
      </c>
      <c r="W109">
        <v>0</v>
      </c>
      <c r="X109">
        <v>2000000000</v>
      </c>
      <c r="Y109" t="s">
        <v>97</v>
      </c>
      <c r="Z109">
        <v>0</v>
      </c>
      <c r="AA109">
        <v>1</v>
      </c>
      <c r="AB109">
        <v>0</v>
      </c>
      <c r="AC109">
        <v>0</v>
      </c>
      <c r="AD109">
        <v>1</v>
      </c>
      <c r="AE109" t="s">
        <v>98</v>
      </c>
      <c r="AF109">
        <v>0</v>
      </c>
      <c r="AG109">
        <v>0</v>
      </c>
      <c r="AH109">
        <v>0</v>
      </c>
      <c r="AI109">
        <v>9</v>
      </c>
      <c r="AJ109">
        <v>1</v>
      </c>
      <c r="AK109">
        <v>38728.239272727202</v>
      </c>
      <c r="AL109">
        <v>5</v>
      </c>
      <c r="AM109">
        <v>1</v>
      </c>
      <c r="AN109">
        <v>2015</v>
      </c>
      <c r="AO109" t="s">
        <v>62</v>
      </c>
      <c r="AP109">
        <v>1.8725788236665511E-4</v>
      </c>
      <c r="AQ109">
        <v>6.2366078553014486</v>
      </c>
      <c r="AR109">
        <v>-560.76160785530146</v>
      </c>
    </row>
    <row r="110" spans="1:44" x14ac:dyDescent="0.25">
      <c r="A110" s="1">
        <v>2279</v>
      </c>
      <c r="B110">
        <v>896</v>
      </c>
      <c r="C110">
        <v>896</v>
      </c>
      <c r="D110">
        <v>896</v>
      </c>
      <c r="E110">
        <v>18109</v>
      </c>
      <c r="F110">
        <v>4296497965</v>
      </c>
      <c r="G110" s="2">
        <v>42004</v>
      </c>
      <c r="H110" t="s">
        <v>96</v>
      </c>
      <c r="I110" t="s">
        <v>93</v>
      </c>
      <c r="J110" t="s">
        <v>46</v>
      </c>
      <c r="K110">
        <v>1703.7429999999999</v>
      </c>
      <c r="L110">
        <v>462.92</v>
      </c>
      <c r="M110">
        <v>9661.777</v>
      </c>
      <c r="N110">
        <v>4.7912511332025162E-2</v>
      </c>
      <c r="O110">
        <v>1.313003654411493E-2</v>
      </c>
      <c r="P110">
        <v>35256.565999999999</v>
      </c>
      <c r="Q110">
        <v>2014</v>
      </c>
      <c r="R110">
        <v>0</v>
      </c>
      <c r="S110">
        <v>0</v>
      </c>
      <c r="T110">
        <v>4296</v>
      </c>
      <c r="U110">
        <v>0</v>
      </c>
      <c r="V110">
        <v>0</v>
      </c>
      <c r="W110">
        <v>0</v>
      </c>
      <c r="X110">
        <v>2304015279</v>
      </c>
      <c r="Y110" t="s">
        <v>97</v>
      </c>
      <c r="Z110">
        <v>0</v>
      </c>
      <c r="AA110">
        <v>1</v>
      </c>
      <c r="AB110">
        <v>0</v>
      </c>
      <c r="AC110">
        <v>0</v>
      </c>
      <c r="AD110">
        <v>1</v>
      </c>
      <c r="AE110" t="s">
        <v>98</v>
      </c>
      <c r="AF110">
        <v>0</v>
      </c>
      <c r="AG110">
        <v>0</v>
      </c>
      <c r="AH110">
        <v>0</v>
      </c>
      <c r="AI110">
        <v>9</v>
      </c>
      <c r="AJ110">
        <v>1</v>
      </c>
      <c r="AK110">
        <v>38728.239272727202</v>
      </c>
      <c r="AL110">
        <v>5</v>
      </c>
      <c r="AM110">
        <v>1</v>
      </c>
      <c r="AN110">
        <v>2014</v>
      </c>
      <c r="AO110" t="s">
        <v>62</v>
      </c>
      <c r="AP110">
        <v>1.8725788236665511E-4</v>
      </c>
      <c r="AQ110">
        <v>6.6020698886802132</v>
      </c>
      <c r="AR110">
        <v>1697.1409301113199</v>
      </c>
    </row>
    <row r="111" spans="1:44" x14ac:dyDescent="0.25">
      <c r="A111" s="1">
        <v>2280</v>
      </c>
      <c r="B111">
        <v>897</v>
      </c>
      <c r="C111">
        <v>897</v>
      </c>
      <c r="D111">
        <v>897</v>
      </c>
      <c r="E111">
        <v>18110</v>
      </c>
      <c r="F111">
        <v>4296497965</v>
      </c>
      <c r="G111" s="2">
        <v>41639</v>
      </c>
      <c r="H111" t="s">
        <v>96</v>
      </c>
      <c r="I111" t="s">
        <v>93</v>
      </c>
      <c r="J111" t="s">
        <v>46</v>
      </c>
      <c r="K111">
        <v>2287.777</v>
      </c>
      <c r="L111">
        <v>670.43799999999999</v>
      </c>
      <c r="M111">
        <v>10360.518</v>
      </c>
      <c r="N111">
        <v>6.4710857121236601E-2</v>
      </c>
      <c r="O111">
        <v>2.0099976726241749E-2</v>
      </c>
      <c r="P111">
        <v>33355.163</v>
      </c>
      <c r="Q111">
        <v>2013</v>
      </c>
      <c r="R111">
        <v>0</v>
      </c>
      <c r="S111">
        <v>0</v>
      </c>
      <c r="T111">
        <v>4296</v>
      </c>
      <c r="U111">
        <v>0</v>
      </c>
      <c r="V111">
        <v>0</v>
      </c>
      <c r="W111">
        <v>0</v>
      </c>
      <c r="X111">
        <v>1700000000</v>
      </c>
      <c r="Y111" t="s">
        <v>97</v>
      </c>
      <c r="Z111">
        <v>0</v>
      </c>
      <c r="AA111">
        <v>1</v>
      </c>
      <c r="AB111">
        <v>0</v>
      </c>
      <c r="AC111">
        <v>0</v>
      </c>
      <c r="AD111">
        <v>1</v>
      </c>
      <c r="AE111" t="s">
        <v>98</v>
      </c>
      <c r="AF111">
        <v>0</v>
      </c>
      <c r="AG111">
        <v>0</v>
      </c>
      <c r="AH111">
        <v>0</v>
      </c>
      <c r="AI111">
        <v>9</v>
      </c>
      <c r="AJ111">
        <v>1</v>
      </c>
      <c r="AK111">
        <v>38728.239272727202</v>
      </c>
      <c r="AL111">
        <v>5</v>
      </c>
      <c r="AM111">
        <v>1</v>
      </c>
      <c r="AN111">
        <v>2013</v>
      </c>
      <c r="AO111" t="s">
        <v>62</v>
      </c>
      <c r="AP111">
        <v>1.8725788236665511E-4</v>
      </c>
      <c r="AQ111">
        <v>6.2460171893746077</v>
      </c>
      <c r="AR111">
        <v>2281.530982810626</v>
      </c>
    </row>
    <row r="112" spans="1:44" x14ac:dyDescent="0.25">
      <c r="A112" s="1">
        <v>775</v>
      </c>
      <c r="B112">
        <v>1038</v>
      </c>
      <c r="C112">
        <v>1038</v>
      </c>
      <c r="D112">
        <v>1038</v>
      </c>
      <c r="E112">
        <v>2146</v>
      </c>
      <c r="F112" t="s">
        <v>108</v>
      </c>
      <c r="G112" s="2">
        <v>45291</v>
      </c>
      <c r="H112" t="s">
        <v>109</v>
      </c>
      <c r="I112" t="s">
        <v>100</v>
      </c>
      <c r="J112" t="s">
        <v>46</v>
      </c>
      <c r="K112">
        <v>295834329.64636898</v>
      </c>
      <c r="L112">
        <v>198177890.708397</v>
      </c>
      <c r="M112">
        <v>1006484961.0484</v>
      </c>
      <c r="N112">
        <v>0.19690099542268971</v>
      </c>
      <c r="O112">
        <v>5.9733095750594947E-2</v>
      </c>
      <c r="P112">
        <v>3317723419.7915001</v>
      </c>
      <c r="Q112">
        <v>2023</v>
      </c>
      <c r="R112">
        <v>0</v>
      </c>
      <c r="S112">
        <v>0</v>
      </c>
      <c r="T112" t="s">
        <v>110</v>
      </c>
      <c r="U112">
        <v>0</v>
      </c>
      <c r="V112">
        <v>200259158</v>
      </c>
      <c r="W112">
        <v>0</v>
      </c>
      <c r="X112">
        <v>0</v>
      </c>
      <c r="Y112" t="s">
        <v>111</v>
      </c>
      <c r="Z112">
        <v>0</v>
      </c>
      <c r="AA112">
        <v>1</v>
      </c>
      <c r="AB112">
        <v>1</v>
      </c>
      <c r="AC112">
        <v>0</v>
      </c>
      <c r="AD112">
        <v>0</v>
      </c>
      <c r="AE112" t="s">
        <v>110</v>
      </c>
      <c r="AF112">
        <v>0</v>
      </c>
      <c r="AG112">
        <v>0</v>
      </c>
      <c r="AH112">
        <v>0</v>
      </c>
      <c r="AI112">
        <v>3</v>
      </c>
      <c r="AJ112">
        <v>1</v>
      </c>
      <c r="AK112">
        <v>3428406037.2332602</v>
      </c>
      <c r="AL112">
        <v>9</v>
      </c>
      <c r="AM112">
        <v>1</v>
      </c>
      <c r="AN112">
        <v>2023</v>
      </c>
      <c r="AO112" t="s">
        <v>48</v>
      </c>
      <c r="AP112">
        <v>3.4062668681992411E-2</v>
      </c>
      <c r="AQ112">
        <v>113010513.6268447</v>
      </c>
      <c r="AR112">
        <v>182823816.01952431</v>
      </c>
    </row>
    <row r="113" spans="1:44" x14ac:dyDescent="0.25">
      <c r="A113" s="1">
        <v>776</v>
      </c>
      <c r="B113">
        <v>1039</v>
      </c>
      <c r="C113">
        <v>1039</v>
      </c>
      <c r="D113">
        <v>1039</v>
      </c>
      <c r="E113">
        <v>2147</v>
      </c>
      <c r="F113" t="s">
        <v>108</v>
      </c>
      <c r="G113" s="2">
        <v>44926</v>
      </c>
      <c r="H113" t="s">
        <v>109</v>
      </c>
      <c r="I113" t="s">
        <v>100</v>
      </c>
      <c r="J113" t="s">
        <v>46</v>
      </c>
      <c r="K113">
        <v>274597340.17456901</v>
      </c>
      <c r="L113">
        <v>151520390.42226899</v>
      </c>
      <c r="M113">
        <v>1008799414.95636</v>
      </c>
      <c r="N113">
        <v>0.15019872947569429</v>
      </c>
      <c r="O113">
        <v>4.2667473046415619E-2</v>
      </c>
      <c r="P113">
        <v>3551192034.67799</v>
      </c>
      <c r="Q113">
        <v>2022</v>
      </c>
      <c r="R113">
        <v>0</v>
      </c>
      <c r="S113">
        <v>0</v>
      </c>
      <c r="T113" t="s">
        <v>110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3</v>
      </c>
      <c r="AJ113">
        <v>1</v>
      </c>
      <c r="AK113">
        <v>3428406037.2332602</v>
      </c>
      <c r="AL113">
        <v>9</v>
      </c>
      <c r="AM113">
        <v>1</v>
      </c>
      <c r="AN113">
        <v>2022</v>
      </c>
      <c r="AO113" t="s">
        <v>48</v>
      </c>
      <c r="AP113">
        <v>3.4062668681992411E-2</v>
      </c>
      <c r="AQ113">
        <v>120963077.70336691</v>
      </c>
      <c r="AR113">
        <v>153634262.47120211</v>
      </c>
    </row>
    <row r="114" spans="1:44" x14ac:dyDescent="0.25">
      <c r="A114" s="1">
        <v>777</v>
      </c>
      <c r="B114">
        <v>1040</v>
      </c>
      <c r="C114">
        <v>1040</v>
      </c>
      <c r="D114">
        <v>1040</v>
      </c>
      <c r="E114">
        <v>2148</v>
      </c>
      <c r="F114" t="s">
        <v>108</v>
      </c>
      <c r="G114" s="2">
        <v>44561</v>
      </c>
      <c r="H114" t="s">
        <v>109</v>
      </c>
      <c r="I114" t="s">
        <v>100</v>
      </c>
      <c r="J114" t="s">
        <v>46</v>
      </c>
      <c r="K114">
        <v>238760413.582423</v>
      </c>
      <c r="L114">
        <v>184504368.46434</v>
      </c>
      <c r="M114">
        <v>1264415232.05264</v>
      </c>
      <c r="N114">
        <v>0.14592071005409929</v>
      </c>
      <c r="O114">
        <v>5.3301420082638239E-2</v>
      </c>
      <c r="P114">
        <v>3461528195.2767</v>
      </c>
      <c r="Q114">
        <v>2021</v>
      </c>
      <c r="R114">
        <v>0</v>
      </c>
      <c r="S114">
        <v>0</v>
      </c>
      <c r="T114" t="s">
        <v>110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3</v>
      </c>
      <c r="AJ114">
        <v>1</v>
      </c>
      <c r="AK114">
        <v>3428406037.2332602</v>
      </c>
      <c r="AL114">
        <v>9</v>
      </c>
      <c r="AM114">
        <v>1</v>
      </c>
      <c r="AN114">
        <v>2021</v>
      </c>
      <c r="AO114" t="s">
        <v>48</v>
      </c>
      <c r="AP114">
        <v>3.4062668681992411E-2</v>
      </c>
      <c r="AQ114">
        <v>117908888.04908539</v>
      </c>
      <c r="AR114">
        <v>120851525.53333759</v>
      </c>
    </row>
    <row r="115" spans="1:44" x14ac:dyDescent="0.25">
      <c r="A115" s="1">
        <v>778</v>
      </c>
      <c r="B115">
        <v>1041</v>
      </c>
      <c r="C115">
        <v>1041</v>
      </c>
      <c r="D115">
        <v>1041</v>
      </c>
      <c r="E115">
        <v>2149</v>
      </c>
      <c r="F115" t="s">
        <v>108</v>
      </c>
      <c r="G115" s="2">
        <v>44196</v>
      </c>
      <c r="H115" t="s">
        <v>109</v>
      </c>
      <c r="I115" t="s">
        <v>100</v>
      </c>
      <c r="J115" t="s">
        <v>46</v>
      </c>
      <c r="K115">
        <v>250824542.44452301</v>
      </c>
      <c r="L115">
        <v>173465755.547728</v>
      </c>
      <c r="M115">
        <v>1142911044.73406</v>
      </c>
      <c r="N115">
        <v>0.1517753777487478</v>
      </c>
      <c r="O115">
        <v>5.0291699842536883E-2</v>
      </c>
      <c r="P115">
        <v>3449192532.5818901</v>
      </c>
      <c r="Q115">
        <v>2020</v>
      </c>
      <c r="R115">
        <v>0</v>
      </c>
      <c r="S115">
        <v>0</v>
      </c>
      <c r="T115" t="s">
        <v>110</v>
      </c>
      <c r="U115">
        <v>0</v>
      </c>
      <c r="V115">
        <v>0</v>
      </c>
      <c r="W115">
        <v>0</v>
      </c>
      <c r="X115">
        <v>300000000</v>
      </c>
      <c r="Y115" t="s">
        <v>111</v>
      </c>
      <c r="Z115">
        <v>0</v>
      </c>
      <c r="AA115">
        <v>1</v>
      </c>
      <c r="AB115">
        <v>0</v>
      </c>
      <c r="AC115">
        <v>0</v>
      </c>
      <c r="AD115">
        <v>1</v>
      </c>
      <c r="AE115" t="s">
        <v>110</v>
      </c>
      <c r="AF115">
        <v>0</v>
      </c>
      <c r="AG115">
        <v>0</v>
      </c>
      <c r="AH115">
        <v>0</v>
      </c>
      <c r="AI115">
        <v>3</v>
      </c>
      <c r="AJ115">
        <v>1</v>
      </c>
      <c r="AK115">
        <v>3428406037.2332602</v>
      </c>
      <c r="AL115">
        <v>9</v>
      </c>
      <c r="AM115">
        <v>1</v>
      </c>
      <c r="AN115">
        <v>2020</v>
      </c>
      <c r="AO115" t="s">
        <v>48</v>
      </c>
      <c r="AP115">
        <v>3.4062668681992411E-2</v>
      </c>
      <c r="AQ115">
        <v>117488702.4577392</v>
      </c>
      <c r="AR115">
        <v>133335839.9867838</v>
      </c>
    </row>
    <row r="116" spans="1:44" x14ac:dyDescent="0.25">
      <c r="A116" s="1">
        <v>1017</v>
      </c>
      <c r="B116">
        <v>1042</v>
      </c>
      <c r="C116">
        <v>1042</v>
      </c>
      <c r="D116">
        <v>1042</v>
      </c>
      <c r="E116">
        <v>2150</v>
      </c>
      <c r="F116" t="s">
        <v>108</v>
      </c>
      <c r="G116" s="2">
        <v>43830</v>
      </c>
      <c r="H116" t="s">
        <v>109</v>
      </c>
      <c r="I116" t="s">
        <v>100</v>
      </c>
      <c r="J116" t="s">
        <v>46</v>
      </c>
      <c r="K116">
        <v>314588311.37724501</v>
      </c>
      <c r="L116">
        <v>233195242.84763801</v>
      </c>
      <c r="M116">
        <v>1262341570.19295</v>
      </c>
      <c r="N116">
        <v>0.18473228510726611</v>
      </c>
      <c r="O116">
        <v>7.3295694425776436E-2</v>
      </c>
      <c r="P116">
        <v>3181568094.4777098</v>
      </c>
      <c r="Q116">
        <v>2019</v>
      </c>
      <c r="R116">
        <v>0</v>
      </c>
      <c r="S116">
        <v>0</v>
      </c>
      <c r="T116" t="s">
        <v>110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3</v>
      </c>
      <c r="AJ116">
        <v>1</v>
      </c>
      <c r="AK116">
        <v>3428406037.2332602</v>
      </c>
      <c r="AL116">
        <v>9</v>
      </c>
      <c r="AM116">
        <v>1</v>
      </c>
      <c r="AN116">
        <v>2019</v>
      </c>
      <c r="AO116" t="s">
        <v>59</v>
      </c>
      <c r="AP116">
        <v>3.5092427195981053E-2</v>
      </c>
      <c r="AQ116">
        <v>111648946.7245152</v>
      </c>
      <c r="AR116">
        <v>202939364.65272981</v>
      </c>
    </row>
    <row r="117" spans="1:44" x14ac:dyDescent="0.25">
      <c r="A117" s="1">
        <v>1018</v>
      </c>
      <c r="B117">
        <v>1043</v>
      </c>
      <c r="C117">
        <v>1043</v>
      </c>
      <c r="D117">
        <v>1043</v>
      </c>
      <c r="E117">
        <v>2151</v>
      </c>
      <c r="F117" t="s">
        <v>108</v>
      </c>
      <c r="G117" s="2">
        <v>43465</v>
      </c>
      <c r="H117" t="s">
        <v>109</v>
      </c>
      <c r="I117" t="s">
        <v>100</v>
      </c>
      <c r="J117" t="s">
        <v>46</v>
      </c>
      <c r="K117">
        <v>220849535.97459799</v>
      </c>
      <c r="L117">
        <v>140652011.25784799</v>
      </c>
      <c r="M117">
        <v>1217887170.3831999</v>
      </c>
      <c r="N117">
        <v>0.1154885400538317</v>
      </c>
      <c r="O117">
        <v>4.4005662523119667E-2</v>
      </c>
      <c r="P117">
        <v>3196225285.4153099</v>
      </c>
      <c r="Q117">
        <v>2018</v>
      </c>
      <c r="R117">
        <v>0</v>
      </c>
      <c r="S117">
        <v>0</v>
      </c>
      <c r="T117" t="s">
        <v>110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3</v>
      </c>
      <c r="AJ117">
        <v>1</v>
      </c>
      <c r="AK117">
        <v>3428406037.2332602</v>
      </c>
      <c r="AL117">
        <v>9</v>
      </c>
      <c r="AM117">
        <v>1</v>
      </c>
      <c r="AN117">
        <v>2018</v>
      </c>
      <c r="AO117" t="s">
        <v>59</v>
      </c>
      <c r="AP117">
        <v>3.5092427195981053E-2</v>
      </c>
      <c r="AQ117">
        <v>112163303.1303905</v>
      </c>
      <c r="AR117">
        <v>108686232.8442075</v>
      </c>
    </row>
    <row r="118" spans="1:44" x14ac:dyDescent="0.25">
      <c r="A118" s="1">
        <v>1019</v>
      </c>
      <c r="B118">
        <v>1044</v>
      </c>
      <c r="C118">
        <v>1044</v>
      </c>
      <c r="D118">
        <v>1044</v>
      </c>
      <c r="E118">
        <v>2152</v>
      </c>
      <c r="F118" t="s">
        <v>108</v>
      </c>
      <c r="G118" s="2">
        <v>43100</v>
      </c>
      <c r="H118" t="s">
        <v>109</v>
      </c>
      <c r="I118" t="s">
        <v>100</v>
      </c>
      <c r="J118" t="s">
        <v>46</v>
      </c>
      <c r="K118">
        <v>277879051.49271899</v>
      </c>
      <c r="L118">
        <v>193607296.83559799</v>
      </c>
      <c r="M118">
        <v>1287415693.4841001</v>
      </c>
      <c r="N118">
        <v>0.15038444677619511</v>
      </c>
      <c r="O118">
        <v>5.6268857036069132E-2</v>
      </c>
      <c r="P118">
        <v>3440754034.0030899</v>
      </c>
      <c r="Q118">
        <v>2017</v>
      </c>
      <c r="R118">
        <v>0</v>
      </c>
      <c r="S118">
        <v>0</v>
      </c>
      <c r="T118" t="s">
        <v>110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3</v>
      </c>
      <c r="AJ118">
        <v>1</v>
      </c>
      <c r="AK118">
        <v>3428406037.2332602</v>
      </c>
      <c r="AL118">
        <v>9</v>
      </c>
      <c r="AM118">
        <v>1</v>
      </c>
      <c r="AN118">
        <v>2017</v>
      </c>
      <c r="AO118" t="s">
        <v>59</v>
      </c>
      <c r="AP118">
        <v>3.5092427195981053E-2</v>
      </c>
      <c r="AQ118">
        <v>120744410.4375315</v>
      </c>
      <c r="AR118">
        <v>157134641.05518749</v>
      </c>
    </row>
    <row r="119" spans="1:44" x14ac:dyDescent="0.25">
      <c r="A119" s="1">
        <v>1247</v>
      </c>
      <c r="B119">
        <v>1045</v>
      </c>
      <c r="C119">
        <v>1045</v>
      </c>
      <c r="D119">
        <v>1045</v>
      </c>
      <c r="E119">
        <v>2153</v>
      </c>
      <c r="F119" t="s">
        <v>108</v>
      </c>
      <c r="G119" s="2">
        <v>42735</v>
      </c>
      <c r="H119" t="s">
        <v>109</v>
      </c>
      <c r="I119" t="s">
        <v>100</v>
      </c>
      <c r="J119" t="s">
        <v>46</v>
      </c>
      <c r="K119">
        <v>210456161.00644001</v>
      </c>
      <c r="L119">
        <v>137532476.20612901</v>
      </c>
      <c r="M119">
        <v>1226083733.5086401</v>
      </c>
      <c r="N119">
        <v>0.112172172623608</v>
      </c>
      <c r="O119">
        <v>4.1857443051931537E-2</v>
      </c>
      <c r="P119">
        <v>3285735252.28227</v>
      </c>
      <c r="Q119">
        <v>2016</v>
      </c>
      <c r="R119">
        <v>0</v>
      </c>
      <c r="S119">
        <v>0</v>
      </c>
      <c r="T119" t="s">
        <v>110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3</v>
      </c>
      <c r="AJ119">
        <v>1</v>
      </c>
      <c r="AK119">
        <v>3428406037.2332602</v>
      </c>
      <c r="AL119">
        <v>9</v>
      </c>
      <c r="AM119">
        <v>1</v>
      </c>
      <c r="AN119">
        <v>2016</v>
      </c>
      <c r="AO119" t="s">
        <v>62</v>
      </c>
      <c r="AP119">
        <v>3.5494312143141332E-2</v>
      </c>
      <c r="AQ119">
        <v>116624912.66423009</v>
      </c>
      <c r="AR119">
        <v>93831248.34220989</v>
      </c>
    </row>
    <row r="120" spans="1:44" x14ac:dyDescent="0.25">
      <c r="A120" s="1">
        <v>1248</v>
      </c>
      <c r="B120">
        <v>1046</v>
      </c>
      <c r="C120">
        <v>1046</v>
      </c>
      <c r="D120">
        <v>1046</v>
      </c>
      <c r="E120">
        <v>2154</v>
      </c>
      <c r="F120" t="s">
        <v>108</v>
      </c>
      <c r="G120" s="2">
        <v>42369</v>
      </c>
      <c r="H120" t="s">
        <v>109</v>
      </c>
      <c r="I120" t="s">
        <v>100</v>
      </c>
      <c r="J120" t="s">
        <v>46</v>
      </c>
      <c r="K120">
        <v>183288109.062655</v>
      </c>
      <c r="L120">
        <v>124458467.189376</v>
      </c>
      <c r="M120">
        <v>1173234209.2251201</v>
      </c>
      <c r="N120">
        <v>0.1060815191125193</v>
      </c>
      <c r="O120">
        <v>3.9874843922294061E-2</v>
      </c>
      <c r="P120">
        <v>3121227695.1331501</v>
      </c>
      <c r="Q120">
        <v>2015</v>
      </c>
      <c r="R120">
        <v>0</v>
      </c>
      <c r="S120">
        <v>0</v>
      </c>
      <c r="T120" t="s">
        <v>110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3</v>
      </c>
      <c r="AJ120">
        <v>1</v>
      </c>
      <c r="AK120">
        <v>3428406037.2332602</v>
      </c>
      <c r="AL120">
        <v>9</v>
      </c>
      <c r="AM120">
        <v>1</v>
      </c>
      <c r="AN120">
        <v>2015</v>
      </c>
      <c r="AO120" t="s">
        <v>62</v>
      </c>
      <c r="AP120">
        <v>3.5494312143141332E-2</v>
      </c>
      <c r="AQ120">
        <v>110785830.08087359</v>
      </c>
      <c r="AR120">
        <v>72502278.981781393</v>
      </c>
    </row>
    <row r="121" spans="1:44" x14ac:dyDescent="0.25">
      <c r="A121" s="1">
        <v>1249</v>
      </c>
      <c r="B121">
        <v>1047</v>
      </c>
      <c r="C121">
        <v>1047</v>
      </c>
      <c r="D121">
        <v>1047</v>
      </c>
      <c r="E121">
        <v>2155</v>
      </c>
      <c r="F121" t="s">
        <v>108</v>
      </c>
      <c r="G121" s="2">
        <v>42004</v>
      </c>
      <c r="H121" t="s">
        <v>109</v>
      </c>
      <c r="I121" t="s">
        <v>100</v>
      </c>
      <c r="J121" t="s">
        <v>46</v>
      </c>
      <c r="K121">
        <v>161324000.65963101</v>
      </c>
      <c r="L121">
        <v>125012265.831135</v>
      </c>
      <c r="M121">
        <v>1479707280.6728201</v>
      </c>
      <c r="N121">
        <v>8.4484456800328886E-2</v>
      </c>
      <c r="O121">
        <v>3.3407513785160402E-2</v>
      </c>
      <c r="P121">
        <v>3742040387.53298</v>
      </c>
      <c r="Q121">
        <v>2014</v>
      </c>
      <c r="R121">
        <v>0</v>
      </c>
      <c r="S121">
        <v>0</v>
      </c>
      <c r="T121" t="s">
        <v>110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3</v>
      </c>
      <c r="AJ121">
        <v>1</v>
      </c>
      <c r="AK121">
        <v>3428406037.2332602</v>
      </c>
      <c r="AL121">
        <v>9</v>
      </c>
      <c r="AM121">
        <v>1</v>
      </c>
      <c r="AN121">
        <v>2014</v>
      </c>
      <c r="AO121" t="s">
        <v>62</v>
      </c>
      <c r="AP121">
        <v>3.5494312143141332E-2</v>
      </c>
      <c r="AQ121">
        <v>132821149.5673371</v>
      </c>
      <c r="AR121">
        <v>28502851.09229387</v>
      </c>
    </row>
    <row r="122" spans="1:44" x14ac:dyDescent="0.25">
      <c r="A122" s="1">
        <v>1250</v>
      </c>
      <c r="B122">
        <v>1048</v>
      </c>
      <c r="C122">
        <v>1048</v>
      </c>
      <c r="D122">
        <v>1048</v>
      </c>
      <c r="E122">
        <v>2156</v>
      </c>
      <c r="F122" t="s">
        <v>108</v>
      </c>
      <c r="G122" s="2">
        <v>41639</v>
      </c>
      <c r="H122" t="s">
        <v>109</v>
      </c>
      <c r="I122" t="s">
        <v>100</v>
      </c>
      <c r="J122" t="s">
        <v>46</v>
      </c>
      <c r="K122">
        <v>215559657.338664</v>
      </c>
      <c r="L122">
        <v>171839375.59489799</v>
      </c>
      <c r="M122">
        <v>1638433356.1774199</v>
      </c>
      <c r="N122">
        <v>0.104880296135945</v>
      </c>
      <c r="O122">
        <v>4.3336006082609332E-2</v>
      </c>
      <c r="P122">
        <v>3965279478.3933001</v>
      </c>
      <c r="Q122">
        <v>2013</v>
      </c>
      <c r="R122">
        <v>0</v>
      </c>
      <c r="S122">
        <v>0</v>
      </c>
      <c r="T122" t="s">
        <v>110</v>
      </c>
      <c r="U122">
        <v>0</v>
      </c>
      <c r="V122">
        <v>0</v>
      </c>
      <c r="W122">
        <v>0</v>
      </c>
      <c r="X122">
        <v>575000000</v>
      </c>
      <c r="Y122" t="s">
        <v>111</v>
      </c>
      <c r="Z122">
        <v>0</v>
      </c>
      <c r="AA122">
        <v>1</v>
      </c>
      <c r="AB122">
        <v>0</v>
      </c>
      <c r="AC122">
        <v>0</v>
      </c>
      <c r="AD122">
        <v>1</v>
      </c>
      <c r="AE122" t="s">
        <v>110</v>
      </c>
      <c r="AF122">
        <v>0</v>
      </c>
      <c r="AG122">
        <v>0</v>
      </c>
      <c r="AH122">
        <v>0</v>
      </c>
      <c r="AI122">
        <v>3</v>
      </c>
      <c r="AJ122">
        <v>1</v>
      </c>
      <c r="AK122">
        <v>3428406037.2332602</v>
      </c>
      <c r="AL122">
        <v>9</v>
      </c>
      <c r="AM122">
        <v>1</v>
      </c>
      <c r="AN122">
        <v>2013</v>
      </c>
      <c r="AO122" t="s">
        <v>62</v>
      </c>
      <c r="AP122">
        <v>3.5494312143141332E-2</v>
      </c>
      <c r="AQ122">
        <v>140744867.54088441</v>
      </c>
      <c r="AR122">
        <v>74814789.79777956</v>
      </c>
    </row>
    <row r="123" spans="1:44" x14ac:dyDescent="0.25">
      <c r="A123" s="1">
        <v>1751</v>
      </c>
      <c r="B123">
        <v>1170</v>
      </c>
      <c r="C123">
        <v>1170</v>
      </c>
      <c r="D123">
        <v>1170</v>
      </c>
      <c r="E123">
        <v>18118</v>
      </c>
      <c r="F123">
        <v>4296828347</v>
      </c>
      <c r="G123" s="2">
        <v>45291</v>
      </c>
      <c r="H123" t="s">
        <v>142</v>
      </c>
      <c r="I123" t="s">
        <v>140</v>
      </c>
      <c r="J123" t="s">
        <v>46</v>
      </c>
      <c r="K123">
        <v>-116.428733334848</v>
      </c>
      <c r="L123">
        <v>-116.428733334848</v>
      </c>
      <c r="M123">
        <v>-962.91561243725698</v>
      </c>
      <c r="N123">
        <v>0.12091270702336281</v>
      </c>
      <c r="O123">
        <v>-3.7615466290307577E-2</v>
      </c>
      <c r="P123">
        <v>3095.2356787571798</v>
      </c>
      <c r="Q123">
        <v>2023</v>
      </c>
      <c r="R123">
        <v>0</v>
      </c>
      <c r="S123">
        <v>0</v>
      </c>
      <c r="T123">
        <v>4296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2</v>
      </c>
      <c r="AJ123">
        <v>1</v>
      </c>
      <c r="AK123">
        <v>2623.5343016049801</v>
      </c>
      <c r="AL123">
        <v>4</v>
      </c>
      <c r="AM123">
        <v>1</v>
      </c>
      <c r="AN123">
        <v>2023</v>
      </c>
      <c r="AO123" t="s">
        <v>48</v>
      </c>
      <c r="AP123">
        <v>5.4677413288106429E-2</v>
      </c>
      <c r="AQ123">
        <v>169.23948043149889</v>
      </c>
      <c r="AR123">
        <v>-285.66821376634698</v>
      </c>
    </row>
    <row r="124" spans="1:44" x14ac:dyDescent="0.25">
      <c r="A124" s="1">
        <v>1752</v>
      </c>
      <c r="B124">
        <v>1171</v>
      </c>
      <c r="C124">
        <v>1171</v>
      </c>
      <c r="D124">
        <v>1171</v>
      </c>
      <c r="E124">
        <v>18119</v>
      </c>
      <c r="F124">
        <v>4296828347</v>
      </c>
      <c r="G124" s="2">
        <v>44926</v>
      </c>
      <c r="H124" t="s">
        <v>142</v>
      </c>
      <c r="I124" t="s">
        <v>140</v>
      </c>
      <c r="J124" t="s">
        <v>46</v>
      </c>
      <c r="K124">
        <v>-272.04756310450603</v>
      </c>
      <c r="L124">
        <v>-272.04756310450603</v>
      </c>
      <c r="M124">
        <v>-878.17138122198605</v>
      </c>
      <c r="N124">
        <v>0.30978869150341543</v>
      </c>
      <c r="O124">
        <v>-8.2887157059373398E-2</v>
      </c>
      <c r="P124">
        <v>3282.14373319179</v>
      </c>
      <c r="Q124">
        <v>2022</v>
      </c>
      <c r="R124">
        <v>0</v>
      </c>
      <c r="S124">
        <v>0</v>
      </c>
      <c r="T124">
        <v>4296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2</v>
      </c>
      <c r="AJ124">
        <v>1</v>
      </c>
      <c r="AK124">
        <v>2623.5343016049801</v>
      </c>
      <c r="AL124">
        <v>4</v>
      </c>
      <c r="AM124">
        <v>1</v>
      </c>
      <c r="AN124">
        <v>2022</v>
      </c>
      <c r="AO124" t="s">
        <v>48</v>
      </c>
      <c r="AP124">
        <v>5.4677413288106429E-2</v>
      </c>
      <c r="AQ124">
        <v>179.45912937069599</v>
      </c>
      <c r="AR124">
        <v>-451.50669247520199</v>
      </c>
    </row>
    <row r="125" spans="1:44" x14ac:dyDescent="0.25">
      <c r="A125" s="1">
        <v>1753</v>
      </c>
      <c r="B125">
        <v>1172</v>
      </c>
      <c r="C125">
        <v>1172</v>
      </c>
      <c r="D125">
        <v>1172</v>
      </c>
      <c r="E125">
        <v>18120</v>
      </c>
      <c r="F125">
        <v>4296828347</v>
      </c>
      <c r="G125" s="2">
        <v>44561</v>
      </c>
      <c r="H125" t="s">
        <v>142</v>
      </c>
      <c r="I125" t="s">
        <v>140</v>
      </c>
      <c r="J125" t="s">
        <v>46</v>
      </c>
      <c r="K125">
        <v>-156.01694982963201</v>
      </c>
      <c r="L125">
        <v>-156.01694982963201</v>
      </c>
      <c r="M125">
        <v>-613.09656679591103</v>
      </c>
      <c r="N125">
        <v>0.2544736967701326</v>
      </c>
      <c r="O125">
        <v>-4.8259915904766977E-2</v>
      </c>
      <c r="P125">
        <v>3232.8475279050599</v>
      </c>
      <c r="Q125">
        <v>2021</v>
      </c>
      <c r="R125">
        <v>0</v>
      </c>
      <c r="S125">
        <v>0</v>
      </c>
      <c r="T125">
        <v>4296</v>
      </c>
      <c r="U125">
        <v>0</v>
      </c>
      <c r="V125">
        <v>0</v>
      </c>
      <c r="W125">
        <v>0</v>
      </c>
      <c r="X125">
        <v>500000000</v>
      </c>
      <c r="Y125" t="s">
        <v>143</v>
      </c>
      <c r="Z125">
        <v>0</v>
      </c>
      <c r="AA125">
        <v>1</v>
      </c>
      <c r="AB125">
        <v>0</v>
      </c>
      <c r="AC125">
        <v>0</v>
      </c>
      <c r="AD125">
        <v>1</v>
      </c>
      <c r="AE125" t="s">
        <v>144</v>
      </c>
      <c r="AF125">
        <v>0</v>
      </c>
      <c r="AG125">
        <v>0</v>
      </c>
      <c r="AH125">
        <v>0</v>
      </c>
      <c r="AI125">
        <v>2</v>
      </c>
      <c r="AJ125">
        <v>1</v>
      </c>
      <c r="AK125">
        <v>2623.5343016049801</v>
      </c>
      <c r="AL125">
        <v>4</v>
      </c>
      <c r="AM125">
        <v>1</v>
      </c>
      <c r="AN125">
        <v>2021</v>
      </c>
      <c r="AO125" t="s">
        <v>48</v>
      </c>
      <c r="AP125">
        <v>5.4677413288106429E-2</v>
      </c>
      <c r="AQ125">
        <v>176.76374038069821</v>
      </c>
      <c r="AR125">
        <v>-332.78069021033008</v>
      </c>
    </row>
    <row r="126" spans="1:44" x14ac:dyDescent="0.25">
      <c r="A126" s="1">
        <v>1754</v>
      </c>
      <c r="B126">
        <v>1173</v>
      </c>
      <c r="C126">
        <v>1173</v>
      </c>
      <c r="D126">
        <v>1173</v>
      </c>
      <c r="E126">
        <v>18121</v>
      </c>
      <c r="F126">
        <v>4296828347</v>
      </c>
      <c r="G126" s="2">
        <v>44196</v>
      </c>
      <c r="H126" t="s">
        <v>142</v>
      </c>
      <c r="I126" t="s">
        <v>140</v>
      </c>
      <c r="J126" t="s">
        <v>46</v>
      </c>
      <c r="K126">
        <v>-101.40798731947901</v>
      </c>
      <c r="L126">
        <v>-101.41882212046499</v>
      </c>
      <c r="M126">
        <v>-570.796074674181</v>
      </c>
      <c r="N126">
        <v>0.17767960681642109</v>
      </c>
      <c r="O126">
        <v>-3.4641284914752837E-2</v>
      </c>
      <c r="P126">
        <v>2927.6864980627001</v>
      </c>
      <c r="Q126">
        <v>2020</v>
      </c>
      <c r="R126">
        <v>0</v>
      </c>
      <c r="S126">
        <v>0</v>
      </c>
      <c r="T126">
        <v>4296</v>
      </c>
      <c r="U126">
        <v>0</v>
      </c>
      <c r="V126">
        <v>0</v>
      </c>
      <c r="W126">
        <v>0</v>
      </c>
      <c r="X126">
        <v>500000000</v>
      </c>
      <c r="Y126" t="s">
        <v>143</v>
      </c>
      <c r="Z126">
        <v>0</v>
      </c>
      <c r="AA126">
        <v>1</v>
      </c>
      <c r="AB126">
        <v>0</v>
      </c>
      <c r="AC126">
        <v>0</v>
      </c>
      <c r="AD126">
        <v>1</v>
      </c>
      <c r="AE126" t="s">
        <v>144</v>
      </c>
      <c r="AF126">
        <v>0</v>
      </c>
      <c r="AG126">
        <v>0</v>
      </c>
      <c r="AH126">
        <v>0</v>
      </c>
      <c r="AI126">
        <v>2</v>
      </c>
      <c r="AJ126">
        <v>1</v>
      </c>
      <c r="AK126">
        <v>2623.5343016049801</v>
      </c>
      <c r="AL126">
        <v>4</v>
      </c>
      <c r="AM126">
        <v>1</v>
      </c>
      <c r="AN126">
        <v>2020</v>
      </c>
      <c r="AO126" t="s">
        <v>48</v>
      </c>
      <c r="AP126">
        <v>5.4677413288106429E-2</v>
      </c>
      <c r="AQ126">
        <v>160.07832463258319</v>
      </c>
      <c r="AR126">
        <v>-261.48631195206218</v>
      </c>
    </row>
    <row r="127" spans="1:44" x14ac:dyDescent="0.25">
      <c r="A127" s="1">
        <v>1834</v>
      </c>
      <c r="B127">
        <v>1174</v>
      </c>
      <c r="C127">
        <v>1174</v>
      </c>
      <c r="D127">
        <v>1174</v>
      </c>
      <c r="E127">
        <v>18122</v>
      </c>
      <c r="F127">
        <v>4296828347</v>
      </c>
      <c r="G127" s="2">
        <v>43830</v>
      </c>
      <c r="H127" t="s">
        <v>142</v>
      </c>
      <c r="I127" t="s">
        <v>140</v>
      </c>
      <c r="J127" t="s">
        <v>46</v>
      </c>
      <c r="K127">
        <v>-75.044005322687994</v>
      </c>
      <c r="L127">
        <v>-75.331559547571501</v>
      </c>
      <c r="M127">
        <v>-443.91780705256201</v>
      </c>
      <c r="N127">
        <v>0.16969708885467591</v>
      </c>
      <c r="O127">
        <v>-3.2125852306011622E-2</v>
      </c>
      <c r="P127">
        <v>2344.8890578842302</v>
      </c>
      <c r="Q127">
        <v>2019</v>
      </c>
      <c r="R127">
        <v>0</v>
      </c>
      <c r="S127">
        <v>0</v>
      </c>
      <c r="T127">
        <v>4296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2</v>
      </c>
      <c r="AJ127">
        <v>1</v>
      </c>
      <c r="AK127">
        <v>2623.5343016049801</v>
      </c>
      <c r="AL127">
        <v>4</v>
      </c>
      <c r="AM127">
        <v>1</v>
      </c>
      <c r="AN127">
        <v>2019</v>
      </c>
      <c r="AO127" t="s">
        <v>59</v>
      </c>
      <c r="AP127">
        <v>3.0717388517610751E-2</v>
      </c>
      <c r="AQ127">
        <v>72.028868221724153</v>
      </c>
      <c r="AR127">
        <v>-147.07287354441209</v>
      </c>
    </row>
    <row r="128" spans="1:44" x14ac:dyDescent="0.25">
      <c r="A128" s="1">
        <v>1835</v>
      </c>
      <c r="B128">
        <v>1175</v>
      </c>
      <c r="C128">
        <v>1175</v>
      </c>
      <c r="D128">
        <v>1175</v>
      </c>
      <c r="E128">
        <v>18123</v>
      </c>
      <c r="F128">
        <v>4296828347</v>
      </c>
      <c r="G128" s="2">
        <v>43465</v>
      </c>
      <c r="H128" t="s">
        <v>142</v>
      </c>
      <c r="I128" t="s">
        <v>140</v>
      </c>
      <c r="J128" t="s">
        <v>46</v>
      </c>
      <c r="K128">
        <v>-78.485086238002395</v>
      </c>
      <c r="L128">
        <v>-78.930241755069602</v>
      </c>
      <c r="M128">
        <v>-405.62354189218399</v>
      </c>
      <c r="N128">
        <v>0.19458989334511931</v>
      </c>
      <c r="O128">
        <v>-3.3600853243197448E-2</v>
      </c>
      <c r="P128">
        <v>2349.0546857184099</v>
      </c>
      <c r="Q128">
        <v>2018</v>
      </c>
      <c r="R128">
        <v>0</v>
      </c>
      <c r="S128">
        <v>0</v>
      </c>
      <c r="T128">
        <v>4296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2</v>
      </c>
      <c r="AJ128">
        <v>1</v>
      </c>
      <c r="AK128">
        <v>2623.5343016049801</v>
      </c>
      <c r="AL128">
        <v>4</v>
      </c>
      <c r="AM128">
        <v>1</v>
      </c>
      <c r="AN128">
        <v>2018</v>
      </c>
      <c r="AO128" t="s">
        <v>59</v>
      </c>
      <c r="AP128">
        <v>3.0717388517610751E-2</v>
      </c>
      <c r="AQ128">
        <v>72.156825430326421</v>
      </c>
      <c r="AR128">
        <v>-150.64191166832879</v>
      </c>
    </row>
    <row r="129" spans="1:44" x14ac:dyDescent="0.25">
      <c r="A129" s="1">
        <v>1836</v>
      </c>
      <c r="B129">
        <v>1176</v>
      </c>
      <c r="C129">
        <v>1176</v>
      </c>
      <c r="D129">
        <v>1176</v>
      </c>
      <c r="E129">
        <v>18124</v>
      </c>
      <c r="F129">
        <v>4296828347</v>
      </c>
      <c r="G129" s="2">
        <v>43100</v>
      </c>
      <c r="H129" t="s">
        <v>142</v>
      </c>
      <c r="I129" t="s">
        <v>140</v>
      </c>
      <c r="J129" t="s">
        <v>46</v>
      </c>
      <c r="K129">
        <v>-87.024988204669299</v>
      </c>
      <c r="L129">
        <v>-87.281594403319005</v>
      </c>
      <c r="M129">
        <v>-378.70864394370801</v>
      </c>
      <c r="N129">
        <v>0.23047161927545731</v>
      </c>
      <c r="O129">
        <v>-3.2987149695379102E-2</v>
      </c>
      <c r="P129">
        <v>2645.92713251444</v>
      </c>
      <c r="Q129">
        <v>2017</v>
      </c>
      <c r="R129">
        <v>0</v>
      </c>
      <c r="S129">
        <v>0</v>
      </c>
      <c r="T129">
        <v>4296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2</v>
      </c>
      <c r="AJ129">
        <v>1</v>
      </c>
      <c r="AK129">
        <v>2623.5343016049801</v>
      </c>
      <c r="AL129">
        <v>4</v>
      </c>
      <c r="AM129">
        <v>1</v>
      </c>
      <c r="AN129">
        <v>2017</v>
      </c>
      <c r="AO129" t="s">
        <v>59</v>
      </c>
      <c r="AP129">
        <v>3.0717388517610751E-2</v>
      </c>
      <c r="AQ129">
        <v>81.275971718733814</v>
      </c>
      <c r="AR129">
        <v>-168.3009599234031</v>
      </c>
    </row>
    <row r="130" spans="1:44" x14ac:dyDescent="0.25">
      <c r="A130" s="1">
        <v>1905</v>
      </c>
      <c r="B130">
        <v>1177</v>
      </c>
      <c r="C130">
        <v>1177</v>
      </c>
      <c r="D130">
        <v>1177</v>
      </c>
      <c r="E130">
        <v>18125</v>
      </c>
      <c r="F130">
        <v>4296828347</v>
      </c>
      <c r="G130" s="2">
        <v>42735</v>
      </c>
      <c r="H130" t="s">
        <v>142</v>
      </c>
      <c r="I130" t="s">
        <v>140</v>
      </c>
      <c r="J130" t="s">
        <v>46</v>
      </c>
      <c r="K130">
        <v>-90.703373724394496</v>
      </c>
      <c r="L130">
        <v>-91.517599246963201</v>
      </c>
      <c r="M130">
        <v>-279.76646296822003</v>
      </c>
      <c r="N130">
        <v>0.32712140789140659</v>
      </c>
      <c r="O130">
        <v>-4.0541825443554863E-2</v>
      </c>
      <c r="P130">
        <v>2257.3625692898399</v>
      </c>
      <c r="Q130">
        <v>2016</v>
      </c>
      <c r="R130">
        <v>0</v>
      </c>
      <c r="S130">
        <v>0</v>
      </c>
      <c r="T130">
        <v>4296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2</v>
      </c>
      <c r="AJ130">
        <v>1</v>
      </c>
      <c r="AK130">
        <v>2623.5343016049801</v>
      </c>
      <c r="AL130">
        <v>4</v>
      </c>
      <c r="AM130">
        <v>1</v>
      </c>
      <c r="AN130">
        <v>2016</v>
      </c>
      <c r="AO130" t="s">
        <v>62</v>
      </c>
      <c r="AP130">
        <v>4.6522305896109353E-2</v>
      </c>
      <c r="AQ130">
        <v>105.0177119669293</v>
      </c>
      <c r="AR130">
        <v>-195.72108569132379</v>
      </c>
    </row>
    <row r="131" spans="1:44" x14ac:dyDescent="0.25">
      <c r="A131" s="1">
        <v>1906</v>
      </c>
      <c r="B131">
        <v>1178</v>
      </c>
      <c r="C131">
        <v>1178</v>
      </c>
      <c r="D131">
        <v>1178</v>
      </c>
      <c r="E131">
        <v>18126</v>
      </c>
      <c r="F131">
        <v>4296828347</v>
      </c>
      <c r="G131" s="2">
        <v>42369</v>
      </c>
      <c r="H131" t="s">
        <v>142</v>
      </c>
      <c r="I131" t="s">
        <v>140</v>
      </c>
      <c r="J131" t="s">
        <v>46</v>
      </c>
      <c r="K131">
        <v>-102.904475524476</v>
      </c>
      <c r="L131">
        <v>-102.807476160203</v>
      </c>
      <c r="M131">
        <v>-197.356942855125</v>
      </c>
      <c r="N131">
        <v>0.52092150736075948</v>
      </c>
      <c r="O131">
        <v>-4.8292236500805281E-2</v>
      </c>
      <c r="P131">
        <v>2128.86135763227</v>
      </c>
      <c r="Q131">
        <v>2015</v>
      </c>
      <c r="R131">
        <v>0</v>
      </c>
      <c r="S131">
        <v>0</v>
      </c>
      <c r="T131">
        <v>4296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2</v>
      </c>
      <c r="AJ131">
        <v>1</v>
      </c>
      <c r="AK131">
        <v>2623.5343016049801</v>
      </c>
      <c r="AL131">
        <v>4</v>
      </c>
      <c r="AM131">
        <v>1</v>
      </c>
      <c r="AN131">
        <v>2015</v>
      </c>
      <c r="AO131" t="s">
        <v>62</v>
      </c>
      <c r="AP131">
        <v>4.6522305896109353E-2</v>
      </c>
      <c r="AQ131">
        <v>99.039539290175114</v>
      </c>
      <c r="AR131">
        <v>-201.9440148146511</v>
      </c>
    </row>
    <row r="132" spans="1:44" x14ac:dyDescent="0.25">
      <c r="A132" s="1">
        <v>1907</v>
      </c>
      <c r="B132">
        <v>1179</v>
      </c>
      <c r="C132">
        <v>1179</v>
      </c>
      <c r="D132">
        <v>1179</v>
      </c>
      <c r="E132">
        <v>18127</v>
      </c>
      <c r="F132">
        <v>4296828347</v>
      </c>
      <c r="G132" s="2">
        <v>42004</v>
      </c>
      <c r="H132" t="s">
        <v>142</v>
      </c>
      <c r="I132" t="s">
        <v>140</v>
      </c>
      <c r="J132" t="s">
        <v>46</v>
      </c>
      <c r="K132">
        <v>-138.534548153034</v>
      </c>
      <c r="L132">
        <v>-138.617191622691</v>
      </c>
      <c r="M132">
        <v>-157.61818766490799</v>
      </c>
      <c r="N132">
        <v>0.87944921633909023</v>
      </c>
      <c r="O132">
        <v>-6.0502083062233182E-2</v>
      </c>
      <c r="P132">
        <v>2291.1143651055399</v>
      </c>
      <c r="Q132">
        <v>2014</v>
      </c>
      <c r="R132">
        <v>0</v>
      </c>
      <c r="S132">
        <v>0</v>
      </c>
      <c r="T132">
        <v>4296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2</v>
      </c>
      <c r="AJ132">
        <v>1</v>
      </c>
      <c r="AK132">
        <v>2623.5343016049801</v>
      </c>
      <c r="AL132">
        <v>4</v>
      </c>
      <c r="AM132">
        <v>1</v>
      </c>
      <c r="AN132">
        <v>2014</v>
      </c>
      <c r="AO132" t="s">
        <v>62</v>
      </c>
      <c r="AP132">
        <v>4.6522305896109353E-2</v>
      </c>
      <c r="AQ132">
        <v>106.5879233364103</v>
      </c>
      <c r="AR132">
        <v>-245.12247148944431</v>
      </c>
    </row>
    <row r="133" spans="1:44" x14ac:dyDescent="0.25">
      <c r="A133" s="1">
        <v>1908</v>
      </c>
      <c r="B133">
        <v>1180</v>
      </c>
      <c r="C133">
        <v>1180</v>
      </c>
      <c r="D133">
        <v>1180</v>
      </c>
      <c r="E133">
        <v>18128</v>
      </c>
      <c r="F133">
        <v>4296828347</v>
      </c>
      <c r="G133" s="2">
        <v>41639</v>
      </c>
      <c r="H133" t="s">
        <v>142</v>
      </c>
      <c r="I133" t="s">
        <v>140</v>
      </c>
      <c r="J133" t="s">
        <v>46</v>
      </c>
      <c r="K133">
        <v>-69.813491338282901</v>
      </c>
      <c r="L133">
        <v>-69.835044736341104</v>
      </c>
      <c r="M133">
        <v>-92.297511897963105</v>
      </c>
      <c r="N133">
        <v>0.7566297649880882</v>
      </c>
      <c r="O133">
        <v>-3.0313576521365009E-2</v>
      </c>
      <c r="P133">
        <v>2303.7547115933799</v>
      </c>
      <c r="Q133">
        <v>2013</v>
      </c>
      <c r="R133">
        <v>0</v>
      </c>
      <c r="S133">
        <v>0</v>
      </c>
      <c r="T133">
        <v>4296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2</v>
      </c>
      <c r="AJ133">
        <v>1</v>
      </c>
      <c r="AK133">
        <v>2623.5343016049801</v>
      </c>
      <c r="AL133">
        <v>4</v>
      </c>
      <c r="AM133">
        <v>1</v>
      </c>
      <c r="AN133">
        <v>2013</v>
      </c>
      <c r="AO133" t="s">
        <v>62</v>
      </c>
      <c r="AP133">
        <v>4.6522305896109353E-2</v>
      </c>
      <c r="AQ133">
        <v>107.1759814023504</v>
      </c>
      <c r="AR133">
        <v>-176.98947274063329</v>
      </c>
    </row>
    <row r="134" spans="1:44" x14ac:dyDescent="0.25">
      <c r="A134" s="1">
        <v>1434</v>
      </c>
      <c r="B134">
        <v>1137</v>
      </c>
      <c r="C134">
        <v>1137</v>
      </c>
      <c r="D134">
        <v>1137</v>
      </c>
      <c r="E134">
        <v>867</v>
      </c>
      <c r="F134" t="s">
        <v>133</v>
      </c>
      <c r="G134" s="2">
        <v>45291</v>
      </c>
      <c r="H134" t="s">
        <v>134</v>
      </c>
      <c r="I134" t="s">
        <v>135</v>
      </c>
      <c r="J134" t="s">
        <v>46</v>
      </c>
      <c r="K134">
        <v>136949091.50786999</v>
      </c>
      <c r="L134">
        <v>100938433.75956801</v>
      </c>
      <c r="M134">
        <v>1902669785.8229799</v>
      </c>
      <c r="N134">
        <v>5.3050946891400892E-2</v>
      </c>
      <c r="O134">
        <v>1.559733930618078E-2</v>
      </c>
      <c r="P134">
        <v>6471516184.7873001</v>
      </c>
      <c r="Q134">
        <v>2023</v>
      </c>
      <c r="R134">
        <v>0</v>
      </c>
      <c r="S134">
        <v>0</v>
      </c>
      <c r="T134" t="s">
        <v>136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3</v>
      </c>
      <c r="AJ134">
        <v>1</v>
      </c>
      <c r="AK134">
        <v>5802097477.17309</v>
      </c>
      <c r="AL134">
        <v>10</v>
      </c>
      <c r="AM134">
        <v>1</v>
      </c>
      <c r="AN134">
        <v>2023</v>
      </c>
      <c r="AO134" t="s">
        <v>48</v>
      </c>
      <c r="AP134">
        <v>4.7658551650929679E-2</v>
      </c>
      <c r="AQ134">
        <v>308423088.3525129</v>
      </c>
      <c r="AR134">
        <v>-171473996.84464291</v>
      </c>
    </row>
    <row r="135" spans="1:44" x14ac:dyDescent="0.25">
      <c r="A135" s="1">
        <v>1435</v>
      </c>
      <c r="B135">
        <v>1138</v>
      </c>
      <c r="C135">
        <v>1138</v>
      </c>
      <c r="D135">
        <v>1138</v>
      </c>
      <c r="E135">
        <v>868</v>
      </c>
      <c r="F135" t="s">
        <v>133</v>
      </c>
      <c r="G135" s="2">
        <v>44926</v>
      </c>
      <c r="H135" t="s">
        <v>134</v>
      </c>
      <c r="I135" t="s">
        <v>135</v>
      </c>
      <c r="J135" t="s">
        <v>46</v>
      </c>
      <c r="K135">
        <v>636649497.52300096</v>
      </c>
      <c r="L135">
        <v>538791380.04246294</v>
      </c>
      <c r="M135">
        <v>1833587846.19014</v>
      </c>
      <c r="N135">
        <v>0.29384541414908089</v>
      </c>
      <c r="O135">
        <v>8.1902054800118071E-2</v>
      </c>
      <c r="P135">
        <v>6578484280.4906797</v>
      </c>
      <c r="Q135">
        <v>2022</v>
      </c>
      <c r="R135">
        <v>0</v>
      </c>
      <c r="S135">
        <v>0</v>
      </c>
      <c r="T135" t="s">
        <v>136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3</v>
      </c>
      <c r="AJ135">
        <v>1</v>
      </c>
      <c r="AK135">
        <v>5802097477.17309</v>
      </c>
      <c r="AL135">
        <v>10</v>
      </c>
      <c r="AM135">
        <v>1</v>
      </c>
      <c r="AN135">
        <v>2022</v>
      </c>
      <c r="AO135" t="s">
        <v>48</v>
      </c>
      <c r="AP135">
        <v>4.7658551650929679E-2</v>
      </c>
      <c r="AQ135">
        <v>313521032.86659402</v>
      </c>
      <c r="AR135">
        <v>323128464.65640688</v>
      </c>
    </row>
    <row r="136" spans="1:44" x14ac:dyDescent="0.25">
      <c r="A136" s="1">
        <v>1436</v>
      </c>
      <c r="B136">
        <v>1139</v>
      </c>
      <c r="C136">
        <v>1139</v>
      </c>
      <c r="D136">
        <v>1139</v>
      </c>
      <c r="E136">
        <v>869</v>
      </c>
      <c r="F136" t="s">
        <v>133</v>
      </c>
      <c r="G136" s="2">
        <v>44561</v>
      </c>
      <c r="H136" t="s">
        <v>134</v>
      </c>
      <c r="I136" t="s">
        <v>135</v>
      </c>
      <c r="J136" t="s">
        <v>46</v>
      </c>
      <c r="K136">
        <v>139384749.14816099</v>
      </c>
      <c r="L136">
        <v>88092246.504523605</v>
      </c>
      <c r="M136">
        <v>1766003251.0868299</v>
      </c>
      <c r="N136">
        <v>4.988226745919639E-2</v>
      </c>
      <c r="O136">
        <v>1.3698400844100679E-2</v>
      </c>
      <c r="P136">
        <v>6430841636.7054396</v>
      </c>
      <c r="Q136">
        <v>2021</v>
      </c>
      <c r="R136">
        <v>0</v>
      </c>
      <c r="S136">
        <v>0</v>
      </c>
      <c r="T136" t="s">
        <v>136</v>
      </c>
      <c r="U136">
        <v>0</v>
      </c>
      <c r="V136">
        <v>800000000</v>
      </c>
      <c r="W136">
        <v>0</v>
      </c>
      <c r="X136">
        <v>0</v>
      </c>
      <c r="Y136" t="s">
        <v>137</v>
      </c>
      <c r="Z136">
        <v>0</v>
      </c>
      <c r="AA136">
        <v>1</v>
      </c>
      <c r="AB136">
        <v>1</v>
      </c>
      <c r="AC136">
        <v>0</v>
      </c>
      <c r="AD136">
        <v>0</v>
      </c>
      <c r="AE136" t="s">
        <v>136</v>
      </c>
      <c r="AF136">
        <v>0</v>
      </c>
      <c r="AG136">
        <v>0</v>
      </c>
      <c r="AH136">
        <v>0</v>
      </c>
      <c r="AI136">
        <v>3</v>
      </c>
      <c r="AJ136">
        <v>1</v>
      </c>
      <c r="AK136">
        <v>5802097477.17309</v>
      </c>
      <c r="AL136">
        <v>10</v>
      </c>
      <c r="AM136">
        <v>1</v>
      </c>
      <c r="AN136">
        <v>2021</v>
      </c>
      <c r="AO136" t="s">
        <v>48</v>
      </c>
      <c r="AP136">
        <v>4.7658551650929679E-2</v>
      </c>
      <c r="AQ136">
        <v>306484598.30187541</v>
      </c>
      <c r="AR136">
        <v>-167099849.15371439</v>
      </c>
    </row>
    <row r="137" spans="1:44" x14ac:dyDescent="0.25">
      <c r="A137" s="1">
        <v>1437</v>
      </c>
      <c r="B137">
        <v>1140</v>
      </c>
      <c r="C137">
        <v>1140</v>
      </c>
      <c r="D137">
        <v>1140</v>
      </c>
      <c r="E137">
        <v>870</v>
      </c>
      <c r="F137" t="s">
        <v>133</v>
      </c>
      <c r="G137" s="2">
        <v>44196</v>
      </c>
      <c r="H137" t="s">
        <v>134</v>
      </c>
      <c r="I137" t="s">
        <v>135</v>
      </c>
      <c r="J137" t="s">
        <v>46</v>
      </c>
      <c r="K137">
        <v>132376267.699894</v>
      </c>
      <c r="L137">
        <v>119008450.86297999</v>
      </c>
      <c r="M137">
        <v>2125382778.44311</v>
      </c>
      <c r="N137">
        <v>5.5993890639386999E-2</v>
      </c>
      <c r="O137">
        <v>1.7278757577605691E-2</v>
      </c>
      <c r="P137">
        <v>6887558340.2606497</v>
      </c>
      <c r="Q137">
        <v>2020</v>
      </c>
      <c r="R137">
        <v>0</v>
      </c>
      <c r="S137">
        <v>0</v>
      </c>
      <c r="T137" t="s">
        <v>136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3</v>
      </c>
      <c r="AJ137">
        <v>1</v>
      </c>
      <c r="AK137">
        <v>5802097477.17309</v>
      </c>
      <c r="AL137">
        <v>10</v>
      </c>
      <c r="AM137">
        <v>1</v>
      </c>
      <c r="AN137">
        <v>2020</v>
      </c>
      <c r="AO137" t="s">
        <v>48</v>
      </c>
      <c r="AP137">
        <v>4.7658551650929679E-2</v>
      </c>
      <c r="AQ137">
        <v>328251054.90810359</v>
      </c>
      <c r="AR137">
        <v>-195874787.2082096</v>
      </c>
    </row>
    <row r="138" spans="1:44" x14ac:dyDescent="0.25">
      <c r="A138" s="1">
        <v>1465</v>
      </c>
      <c r="B138">
        <v>1141</v>
      </c>
      <c r="C138">
        <v>1141</v>
      </c>
      <c r="D138">
        <v>1141</v>
      </c>
      <c r="E138">
        <v>871</v>
      </c>
      <c r="F138" t="s">
        <v>133</v>
      </c>
      <c r="G138" s="2">
        <v>43830</v>
      </c>
      <c r="H138" t="s">
        <v>134</v>
      </c>
      <c r="I138" t="s">
        <v>135</v>
      </c>
      <c r="J138" t="s">
        <v>46</v>
      </c>
      <c r="K138">
        <v>319640501.66333997</v>
      </c>
      <c r="L138">
        <v>205125889.554225</v>
      </c>
      <c r="M138">
        <v>2140617961.4105101</v>
      </c>
      <c r="N138">
        <v>9.5825548160430318E-2</v>
      </c>
      <c r="O138">
        <v>2.9819575739558121E-2</v>
      </c>
      <c r="P138">
        <v>6878900335.32934</v>
      </c>
      <c r="Q138">
        <v>2019</v>
      </c>
      <c r="R138">
        <v>0</v>
      </c>
      <c r="S138">
        <v>0</v>
      </c>
      <c r="T138" t="s">
        <v>136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3</v>
      </c>
      <c r="AJ138">
        <v>1</v>
      </c>
      <c r="AK138">
        <v>5802097477.17309</v>
      </c>
      <c r="AL138">
        <v>10</v>
      </c>
      <c r="AM138">
        <v>1</v>
      </c>
      <c r="AN138">
        <v>2019</v>
      </c>
      <c r="AO138" t="s">
        <v>59</v>
      </c>
      <c r="AP138">
        <v>1.236314438369158E-2</v>
      </c>
      <c r="AQ138">
        <v>85044838.046701074</v>
      </c>
      <c r="AR138">
        <v>234595663.6166389</v>
      </c>
    </row>
    <row r="139" spans="1:44" x14ac:dyDescent="0.25">
      <c r="A139" s="1">
        <v>1466</v>
      </c>
      <c r="B139">
        <v>1142</v>
      </c>
      <c r="C139">
        <v>1142</v>
      </c>
      <c r="D139">
        <v>1142</v>
      </c>
      <c r="E139">
        <v>872</v>
      </c>
      <c r="F139" t="s">
        <v>133</v>
      </c>
      <c r="G139" s="2">
        <v>43465</v>
      </c>
      <c r="H139" t="s">
        <v>134</v>
      </c>
      <c r="I139" t="s">
        <v>135</v>
      </c>
      <c r="J139" t="s">
        <v>46</v>
      </c>
      <c r="K139">
        <v>-3277731.1106300098</v>
      </c>
      <c r="L139">
        <v>-34082546.005628899</v>
      </c>
      <c r="M139">
        <v>1972175740.7808299</v>
      </c>
      <c r="N139">
        <v>-1.728169822844227E-2</v>
      </c>
      <c r="O139">
        <v>-5.9568137413595016E-3</v>
      </c>
      <c r="P139">
        <v>5721606799.45154</v>
      </c>
      <c r="Q139">
        <v>2018</v>
      </c>
      <c r="R139">
        <v>0</v>
      </c>
      <c r="S139">
        <v>0</v>
      </c>
      <c r="T139" t="s">
        <v>136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3</v>
      </c>
      <c r="AJ139">
        <v>1</v>
      </c>
      <c r="AK139">
        <v>5802097477.17309</v>
      </c>
      <c r="AL139">
        <v>10</v>
      </c>
      <c r="AM139">
        <v>1</v>
      </c>
      <c r="AN139">
        <v>2018</v>
      </c>
      <c r="AO139" t="s">
        <v>59</v>
      </c>
      <c r="AP139">
        <v>1.236314438369158E-2</v>
      </c>
      <c r="AQ139">
        <v>70737050.968330875</v>
      </c>
      <c r="AR139">
        <v>-74014782.078960881</v>
      </c>
    </row>
    <row r="140" spans="1:44" x14ac:dyDescent="0.25">
      <c r="A140" s="1">
        <v>1467</v>
      </c>
      <c r="B140">
        <v>1143</v>
      </c>
      <c r="C140">
        <v>1143</v>
      </c>
      <c r="D140">
        <v>1143</v>
      </c>
      <c r="E140">
        <v>873</v>
      </c>
      <c r="F140" t="s">
        <v>133</v>
      </c>
      <c r="G140" s="2">
        <v>43100</v>
      </c>
      <c r="H140" t="s">
        <v>134</v>
      </c>
      <c r="I140" t="s">
        <v>135</v>
      </c>
      <c r="J140" t="s">
        <v>46</v>
      </c>
      <c r="K140">
        <v>42301999.511917397</v>
      </c>
      <c r="L140">
        <v>70624812.494915798</v>
      </c>
      <c r="M140">
        <v>2014725730.0903001</v>
      </c>
      <c r="N140">
        <v>3.5054306122228547E-2</v>
      </c>
      <c r="O140">
        <v>1.2300665017110871E-2</v>
      </c>
      <c r="P140">
        <v>5741544249.5729303</v>
      </c>
      <c r="Q140">
        <v>2017</v>
      </c>
      <c r="R140">
        <v>0</v>
      </c>
      <c r="S140">
        <v>0</v>
      </c>
      <c r="T140" t="s">
        <v>136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3</v>
      </c>
      <c r="AJ140">
        <v>1</v>
      </c>
      <c r="AK140">
        <v>5802097477.17309</v>
      </c>
      <c r="AL140">
        <v>10</v>
      </c>
      <c r="AM140">
        <v>1</v>
      </c>
      <c r="AN140">
        <v>2017</v>
      </c>
      <c r="AO140" t="s">
        <v>59</v>
      </c>
      <c r="AP140">
        <v>1.236314438369158E-2</v>
      </c>
      <c r="AQ140">
        <v>70983540.542824283</v>
      </c>
      <c r="AR140">
        <v>-28681541.03090689</v>
      </c>
    </row>
    <row r="141" spans="1:44" x14ac:dyDescent="0.25">
      <c r="A141" s="1">
        <v>1497</v>
      </c>
      <c r="B141">
        <v>1144</v>
      </c>
      <c r="C141">
        <v>1144</v>
      </c>
      <c r="D141">
        <v>1144</v>
      </c>
      <c r="E141">
        <v>874</v>
      </c>
      <c r="F141" t="s">
        <v>133</v>
      </c>
      <c r="G141" s="2">
        <v>42735</v>
      </c>
      <c r="H141" t="s">
        <v>134</v>
      </c>
      <c r="I141" t="s">
        <v>135</v>
      </c>
      <c r="J141" t="s">
        <v>46</v>
      </c>
      <c r="K141">
        <v>9173996.3244632408</v>
      </c>
      <c r="L141">
        <v>51036322.0726441</v>
      </c>
      <c r="M141">
        <v>1885390101.4507899</v>
      </c>
      <c r="N141">
        <v>2.70693699056615E-2</v>
      </c>
      <c r="O141">
        <v>9.8143064019109005E-3</v>
      </c>
      <c r="P141">
        <v>5200196527.66364</v>
      </c>
      <c r="Q141">
        <v>2016</v>
      </c>
      <c r="R141">
        <v>0</v>
      </c>
      <c r="S141">
        <v>0</v>
      </c>
      <c r="T141" t="s">
        <v>136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3</v>
      </c>
      <c r="AJ141">
        <v>1</v>
      </c>
      <c r="AK141">
        <v>5802097477.17309</v>
      </c>
      <c r="AL141">
        <v>10</v>
      </c>
      <c r="AM141">
        <v>1</v>
      </c>
      <c r="AN141">
        <v>2016</v>
      </c>
      <c r="AO141" t="s">
        <v>62</v>
      </c>
      <c r="AP141">
        <v>1.9907400481436421E-2</v>
      </c>
      <c r="AQ141">
        <v>103522394.8583751</v>
      </c>
      <c r="AR141">
        <v>-94348398.533911884</v>
      </c>
    </row>
    <row r="142" spans="1:44" x14ac:dyDescent="0.25">
      <c r="A142" s="1">
        <v>1498</v>
      </c>
      <c r="B142">
        <v>1145</v>
      </c>
      <c r="C142">
        <v>1145</v>
      </c>
      <c r="D142">
        <v>1145</v>
      </c>
      <c r="E142">
        <v>875</v>
      </c>
      <c r="F142" t="s">
        <v>133</v>
      </c>
      <c r="G142" s="2">
        <v>42369</v>
      </c>
      <c r="H142" t="s">
        <v>134</v>
      </c>
      <c r="I142" t="s">
        <v>135</v>
      </c>
      <c r="J142" t="s">
        <v>46</v>
      </c>
      <c r="K142">
        <v>-19612026.559299301</v>
      </c>
      <c r="L142">
        <v>-1556822.7731864101</v>
      </c>
      <c r="M142">
        <v>1349645941.9368501</v>
      </c>
      <c r="N142">
        <v>-1.153504578357969E-3</v>
      </c>
      <c r="O142">
        <v>-3.3772993153053141E-4</v>
      </c>
      <c r="P142">
        <v>4609667748.8168402</v>
      </c>
      <c r="Q142">
        <v>2015</v>
      </c>
      <c r="R142">
        <v>0</v>
      </c>
      <c r="S142">
        <v>0</v>
      </c>
      <c r="T142" t="s">
        <v>136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3</v>
      </c>
      <c r="AJ142">
        <v>1</v>
      </c>
      <c r="AK142">
        <v>5802097477.17309</v>
      </c>
      <c r="AL142">
        <v>10</v>
      </c>
      <c r="AM142">
        <v>1</v>
      </c>
      <c r="AN142">
        <v>2015</v>
      </c>
      <c r="AO142" t="s">
        <v>62</v>
      </c>
      <c r="AP142">
        <v>1.9907400481436421E-2</v>
      </c>
      <c r="AQ142">
        <v>91766501.962058291</v>
      </c>
      <c r="AR142">
        <v>-111378528.5213576</v>
      </c>
    </row>
    <row r="143" spans="1:44" x14ac:dyDescent="0.25">
      <c r="A143" s="1">
        <v>1499</v>
      </c>
      <c r="B143">
        <v>1146</v>
      </c>
      <c r="C143">
        <v>1146</v>
      </c>
      <c r="D143">
        <v>1146</v>
      </c>
      <c r="E143">
        <v>876</v>
      </c>
      <c r="F143" t="s">
        <v>133</v>
      </c>
      <c r="G143" s="2">
        <v>42004</v>
      </c>
      <c r="H143" t="s">
        <v>134</v>
      </c>
      <c r="I143" t="s">
        <v>135</v>
      </c>
      <c r="J143" t="s">
        <v>46</v>
      </c>
      <c r="K143">
        <v>79908504.287598893</v>
      </c>
      <c r="L143">
        <v>93124178.759894505</v>
      </c>
      <c r="M143">
        <v>1577085854.2216401</v>
      </c>
      <c r="N143">
        <v>5.9048262027469198E-2</v>
      </c>
      <c r="O143">
        <v>1.860155066583058E-2</v>
      </c>
      <c r="P143">
        <v>5006258909.9604197</v>
      </c>
      <c r="Q143">
        <v>2014</v>
      </c>
      <c r="R143">
        <v>0</v>
      </c>
      <c r="S143">
        <v>0</v>
      </c>
      <c r="T143" t="s">
        <v>136</v>
      </c>
      <c r="U143">
        <v>0</v>
      </c>
      <c r="V143">
        <v>0</v>
      </c>
      <c r="W143">
        <v>0</v>
      </c>
      <c r="X143">
        <v>800000000</v>
      </c>
      <c r="Y143" t="s">
        <v>137</v>
      </c>
      <c r="Z143">
        <v>0</v>
      </c>
      <c r="AA143">
        <v>1</v>
      </c>
      <c r="AB143">
        <v>0</v>
      </c>
      <c r="AC143">
        <v>0</v>
      </c>
      <c r="AD143">
        <v>1</v>
      </c>
      <c r="AE143" t="s">
        <v>136</v>
      </c>
      <c r="AF143">
        <v>0</v>
      </c>
      <c r="AG143">
        <v>0</v>
      </c>
      <c r="AH143">
        <v>0</v>
      </c>
      <c r="AI143">
        <v>3</v>
      </c>
      <c r="AJ143">
        <v>1</v>
      </c>
      <c r="AK143">
        <v>5802097477.17309</v>
      </c>
      <c r="AL143">
        <v>10</v>
      </c>
      <c r="AM143">
        <v>1</v>
      </c>
      <c r="AN143">
        <v>2014</v>
      </c>
      <c r="AO143" t="s">
        <v>62</v>
      </c>
      <c r="AP143">
        <v>1.9907400481436421E-2</v>
      </c>
      <c r="AQ143">
        <v>99661601.03434141</v>
      </c>
      <c r="AR143">
        <v>-19753096.74674252</v>
      </c>
    </row>
    <row r="144" spans="1:44" x14ac:dyDescent="0.25">
      <c r="A144" s="1">
        <v>1500</v>
      </c>
      <c r="B144">
        <v>1147</v>
      </c>
      <c r="C144">
        <v>1147</v>
      </c>
      <c r="D144">
        <v>1147</v>
      </c>
      <c r="E144">
        <v>877</v>
      </c>
      <c r="F144" t="s">
        <v>133</v>
      </c>
      <c r="G144" s="2">
        <v>41639</v>
      </c>
      <c r="H144" t="s">
        <v>134</v>
      </c>
      <c r="I144" t="s">
        <v>135</v>
      </c>
      <c r="J144" t="s">
        <v>46</v>
      </c>
      <c r="K144">
        <v>336792223.49133801</v>
      </c>
      <c r="L144">
        <v>279773946.31639099</v>
      </c>
      <c r="M144">
        <v>1677298899.6763799</v>
      </c>
      <c r="N144">
        <v>0.16680029204715449</v>
      </c>
      <c r="O144">
        <v>6.5116752311851697E-2</v>
      </c>
      <c r="P144">
        <v>4296497235.8652201</v>
      </c>
      <c r="Q144">
        <v>2013</v>
      </c>
      <c r="R144">
        <v>0</v>
      </c>
      <c r="S144">
        <v>0</v>
      </c>
      <c r="T144" t="s">
        <v>136</v>
      </c>
      <c r="U144">
        <v>0</v>
      </c>
      <c r="V144">
        <v>0</v>
      </c>
      <c r="W144">
        <v>0</v>
      </c>
      <c r="X144">
        <v>1000000000</v>
      </c>
      <c r="Y144" t="s">
        <v>137</v>
      </c>
      <c r="Z144">
        <v>0</v>
      </c>
      <c r="AA144">
        <v>1</v>
      </c>
      <c r="AB144">
        <v>0</v>
      </c>
      <c r="AC144">
        <v>0</v>
      </c>
      <c r="AD144">
        <v>1</v>
      </c>
      <c r="AE144" t="s">
        <v>136</v>
      </c>
      <c r="AF144">
        <v>0</v>
      </c>
      <c r="AG144">
        <v>0</v>
      </c>
      <c r="AH144">
        <v>0</v>
      </c>
      <c r="AI144">
        <v>3</v>
      </c>
      <c r="AJ144">
        <v>1</v>
      </c>
      <c r="AK144">
        <v>5802097477.17309</v>
      </c>
      <c r="AL144">
        <v>10</v>
      </c>
      <c r="AM144">
        <v>1</v>
      </c>
      <c r="AN144">
        <v>2013</v>
      </c>
      <c r="AO144" t="s">
        <v>62</v>
      </c>
      <c r="AP144">
        <v>1.9907400481436421E-2</v>
      </c>
      <c r="AQ144">
        <v>85532091.141753525</v>
      </c>
      <c r="AR144">
        <v>251260132.34958449</v>
      </c>
    </row>
    <row r="145" spans="1:44" x14ac:dyDescent="0.25">
      <c r="A145" s="1">
        <v>783</v>
      </c>
      <c r="B145">
        <v>1159</v>
      </c>
      <c r="C145">
        <v>1159</v>
      </c>
      <c r="D145">
        <v>1159</v>
      </c>
      <c r="E145">
        <v>18049</v>
      </c>
      <c r="F145">
        <v>4295863497</v>
      </c>
      <c r="G145" s="2">
        <v>45291</v>
      </c>
      <c r="H145" t="s">
        <v>112</v>
      </c>
      <c r="I145" t="s">
        <v>100</v>
      </c>
      <c r="J145" t="s">
        <v>46</v>
      </c>
      <c r="K145">
        <v>597.16300000000001</v>
      </c>
      <c r="L145">
        <v>518.94500000000005</v>
      </c>
      <c r="M145">
        <v>1792.047</v>
      </c>
      <c r="N145">
        <v>0.28958224867986171</v>
      </c>
      <c r="O145">
        <v>7.2920426951492104E-2</v>
      </c>
      <c r="P145">
        <v>7116.5929999999998</v>
      </c>
      <c r="Q145">
        <v>2023</v>
      </c>
      <c r="R145">
        <v>0</v>
      </c>
      <c r="S145">
        <v>0</v>
      </c>
      <c r="T145">
        <v>4295</v>
      </c>
      <c r="U145">
        <v>0</v>
      </c>
      <c r="V145">
        <v>0</v>
      </c>
      <c r="W145">
        <v>0</v>
      </c>
      <c r="X145">
        <v>500000000</v>
      </c>
      <c r="Y145" t="s">
        <v>113</v>
      </c>
      <c r="Z145">
        <v>0</v>
      </c>
      <c r="AA145">
        <v>1</v>
      </c>
      <c r="AB145">
        <v>0</v>
      </c>
      <c r="AC145">
        <v>0</v>
      </c>
      <c r="AD145">
        <v>1</v>
      </c>
      <c r="AE145" t="s">
        <v>113</v>
      </c>
      <c r="AF145">
        <v>0</v>
      </c>
      <c r="AG145">
        <v>0</v>
      </c>
      <c r="AH145">
        <v>0</v>
      </c>
      <c r="AI145">
        <v>7</v>
      </c>
      <c r="AJ145">
        <v>1</v>
      </c>
      <c r="AK145">
        <v>6511.9750909090899</v>
      </c>
      <c r="AL145">
        <v>5</v>
      </c>
      <c r="AM145">
        <v>1</v>
      </c>
      <c r="AN145">
        <v>2023</v>
      </c>
      <c r="AO145" t="s">
        <v>48</v>
      </c>
      <c r="AP145">
        <v>3.4062668681992411E-2</v>
      </c>
      <c r="AQ145">
        <v>242.41014950358641</v>
      </c>
      <c r="AR145">
        <v>354.7528504964136</v>
      </c>
    </row>
    <row r="146" spans="1:44" x14ac:dyDescent="0.25">
      <c r="A146" s="1">
        <v>784</v>
      </c>
      <c r="B146">
        <v>1160</v>
      </c>
      <c r="C146">
        <v>1160</v>
      </c>
      <c r="D146">
        <v>1160</v>
      </c>
      <c r="E146">
        <v>18050</v>
      </c>
      <c r="F146">
        <v>4295863497</v>
      </c>
      <c r="G146" s="2">
        <v>44926</v>
      </c>
      <c r="H146" t="s">
        <v>112</v>
      </c>
      <c r="I146" t="s">
        <v>100</v>
      </c>
      <c r="J146" t="s">
        <v>46</v>
      </c>
      <c r="K146">
        <v>714.13900000000001</v>
      </c>
      <c r="L146">
        <v>528.01400000000001</v>
      </c>
      <c r="M146">
        <v>1622.2</v>
      </c>
      <c r="N146">
        <v>0.32549254099371222</v>
      </c>
      <c r="O146">
        <v>7.0181524751556687E-2</v>
      </c>
      <c r="P146">
        <v>7523.5469999999996</v>
      </c>
      <c r="Q146">
        <v>2022</v>
      </c>
      <c r="R146">
        <v>0</v>
      </c>
      <c r="S146">
        <v>0</v>
      </c>
      <c r="T146">
        <v>4295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7</v>
      </c>
      <c r="AJ146">
        <v>1</v>
      </c>
      <c r="AK146">
        <v>6511.9750909090899</v>
      </c>
      <c r="AL146">
        <v>5</v>
      </c>
      <c r="AM146">
        <v>1</v>
      </c>
      <c r="AN146">
        <v>2022</v>
      </c>
      <c r="AO146" t="s">
        <v>48</v>
      </c>
      <c r="AP146">
        <v>3.4062668681992411E-2</v>
      </c>
      <c r="AQ146">
        <v>256.27208877439801</v>
      </c>
      <c r="AR146">
        <v>457.86691122560211</v>
      </c>
    </row>
    <row r="147" spans="1:44" x14ac:dyDescent="0.25">
      <c r="A147" s="1">
        <v>785</v>
      </c>
      <c r="B147">
        <v>1161</v>
      </c>
      <c r="C147">
        <v>1161</v>
      </c>
      <c r="D147">
        <v>1161</v>
      </c>
      <c r="E147">
        <v>18051</v>
      </c>
      <c r="F147">
        <v>4295863497</v>
      </c>
      <c r="G147" s="2">
        <v>44561</v>
      </c>
      <c r="H147" t="s">
        <v>112</v>
      </c>
      <c r="I147" t="s">
        <v>100</v>
      </c>
      <c r="J147" t="s">
        <v>46</v>
      </c>
      <c r="K147">
        <v>189.23599999999999</v>
      </c>
      <c r="L147">
        <v>113.175</v>
      </c>
      <c r="M147">
        <v>1016.391</v>
      </c>
      <c r="N147">
        <v>0.1113498643730612</v>
      </c>
      <c r="O147">
        <v>1.6336013060149871E-2</v>
      </c>
      <c r="P147">
        <v>6927.9449999999997</v>
      </c>
      <c r="Q147">
        <v>2021</v>
      </c>
      <c r="R147">
        <v>0</v>
      </c>
      <c r="S147">
        <v>0</v>
      </c>
      <c r="T147">
        <v>4295</v>
      </c>
      <c r="U147">
        <v>0</v>
      </c>
      <c r="V147">
        <v>0</v>
      </c>
      <c r="W147">
        <v>0</v>
      </c>
      <c r="X147">
        <v>560000000</v>
      </c>
      <c r="Y147" t="s">
        <v>113</v>
      </c>
      <c r="Z147">
        <v>0</v>
      </c>
      <c r="AA147">
        <v>1</v>
      </c>
      <c r="AB147">
        <v>0</v>
      </c>
      <c r="AC147">
        <v>0</v>
      </c>
      <c r="AD147">
        <v>1</v>
      </c>
      <c r="AE147" t="s">
        <v>113</v>
      </c>
      <c r="AF147">
        <v>0</v>
      </c>
      <c r="AG147">
        <v>0</v>
      </c>
      <c r="AH147">
        <v>0</v>
      </c>
      <c r="AI147">
        <v>7</v>
      </c>
      <c r="AJ147">
        <v>1</v>
      </c>
      <c r="AK147">
        <v>6511.9750909090899</v>
      </c>
      <c r="AL147">
        <v>5</v>
      </c>
      <c r="AM147">
        <v>1</v>
      </c>
      <c r="AN147">
        <v>2021</v>
      </c>
      <c r="AO147" t="s">
        <v>48</v>
      </c>
      <c r="AP147">
        <v>3.4062668681992411E-2</v>
      </c>
      <c r="AQ147">
        <v>235.98429518206589</v>
      </c>
      <c r="AR147">
        <v>-46.748295182065903</v>
      </c>
    </row>
    <row r="148" spans="1:44" x14ac:dyDescent="0.25">
      <c r="A148" s="1">
        <v>786</v>
      </c>
      <c r="B148">
        <v>1162</v>
      </c>
      <c r="C148">
        <v>1162</v>
      </c>
      <c r="D148">
        <v>1162</v>
      </c>
      <c r="E148">
        <v>18052</v>
      </c>
      <c r="F148">
        <v>4295863497</v>
      </c>
      <c r="G148" s="2">
        <v>44196</v>
      </c>
      <c r="H148" t="s">
        <v>112</v>
      </c>
      <c r="I148" t="s">
        <v>100</v>
      </c>
      <c r="J148" t="s">
        <v>46</v>
      </c>
      <c r="K148">
        <v>-189.262</v>
      </c>
      <c r="L148">
        <v>-112.009</v>
      </c>
      <c r="M148">
        <v>924.71299999999997</v>
      </c>
      <c r="N148">
        <v>-0.121128393350153</v>
      </c>
      <c r="O148">
        <v>-1.7734798975580991E-2</v>
      </c>
      <c r="P148">
        <v>6315.7749999999996</v>
      </c>
      <c r="Q148">
        <v>2020</v>
      </c>
      <c r="R148">
        <v>0</v>
      </c>
      <c r="S148">
        <v>0</v>
      </c>
      <c r="T148">
        <v>4295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7</v>
      </c>
      <c r="AJ148">
        <v>1</v>
      </c>
      <c r="AK148">
        <v>6511.9750909090899</v>
      </c>
      <c r="AL148">
        <v>5</v>
      </c>
      <c r="AM148">
        <v>1</v>
      </c>
      <c r="AN148">
        <v>2020</v>
      </c>
      <c r="AO148" t="s">
        <v>48</v>
      </c>
      <c r="AP148">
        <v>3.4062668681992411E-2</v>
      </c>
      <c r="AQ148">
        <v>215.1321512950106</v>
      </c>
      <c r="AR148">
        <v>-404.3941512950106</v>
      </c>
    </row>
    <row r="149" spans="1:44" x14ac:dyDescent="0.25">
      <c r="A149" s="1">
        <v>1023</v>
      </c>
      <c r="B149">
        <v>1163</v>
      </c>
      <c r="C149">
        <v>1163</v>
      </c>
      <c r="D149">
        <v>1163</v>
      </c>
      <c r="E149">
        <v>18053</v>
      </c>
      <c r="F149">
        <v>4295863497</v>
      </c>
      <c r="G149" s="2">
        <v>43830</v>
      </c>
      <c r="H149" t="s">
        <v>112</v>
      </c>
      <c r="I149" t="s">
        <v>100</v>
      </c>
      <c r="J149" t="s">
        <v>46</v>
      </c>
      <c r="K149">
        <v>-74.078000000000003</v>
      </c>
      <c r="L149">
        <v>-14.497999999999999</v>
      </c>
      <c r="M149">
        <v>1037.923</v>
      </c>
      <c r="N149">
        <v>-1.396828088403475E-2</v>
      </c>
      <c r="O149">
        <v>-2.2264053704005721E-3</v>
      </c>
      <c r="P149">
        <v>6511.8419999999996</v>
      </c>
      <c r="Q149">
        <v>2019</v>
      </c>
      <c r="R149">
        <v>0</v>
      </c>
      <c r="S149">
        <v>0</v>
      </c>
      <c r="T149">
        <v>4295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7</v>
      </c>
      <c r="AJ149">
        <v>1</v>
      </c>
      <c r="AK149">
        <v>6511.9750909090899</v>
      </c>
      <c r="AL149">
        <v>5</v>
      </c>
      <c r="AM149">
        <v>1</v>
      </c>
      <c r="AN149">
        <v>2019</v>
      </c>
      <c r="AO149" t="s">
        <v>59</v>
      </c>
      <c r="AP149">
        <v>3.5092427195981053E-2</v>
      </c>
      <c r="AQ149">
        <v>228.51634129673161</v>
      </c>
      <c r="AR149">
        <v>-302.59434129673161</v>
      </c>
    </row>
    <row r="150" spans="1:44" x14ac:dyDescent="0.25">
      <c r="A150" s="1">
        <v>1024</v>
      </c>
      <c r="B150">
        <v>1164</v>
      </c>
      <c r="C150">
        <v>1164</v>
      </c>
      <c r="D150">
        <v>1164</v>
      </c>
      <c r="E150">
        <v>18054</v>
      </c>
      <c r="F150">
        <v>4295863497</v>
      </c>
      <c r="G150" s="2">
        <v>43465</v>
      </c>
      <c r="H150" t="s">
        <v>112</v>
      </c>
      <c r="I150" t="s">
        <v>100</v>
      </c>
      <c r="J150" t="s">
        <v>46</v>
      </c>
      <c r="K150">
        <v>-524.74</v>
      </c>
      <c r="L150">
        <v>-248.946</v>
      </c>
      <c r="M150">
        <v>1030.5219999999999</v>
      </c>
      <c r="N150">
        <v>-0.24157271751597739</v>
      </c>
      <c r="O150">
        <v>-3.4394117744582793E-2</v>
      </c>
      <c r="P150">
        <v>7238.04</v>
      </c>
      <c r="Q150">
        <v>2018</v>
      </c>
      <c r="R150">
        <v>0</v>
      </c>
      <c r="S150">
        <v>0</v>
      </c>
      <c r="T150">
        <v>4295</v>
      </c>
      <c r="U150">
        <v>0</v>
      </c>
      <c r="V150">
        <v>0</v>
      </c>
      <c r="W150">
        <v>0</v>
      </c>
      <c r="X150">
        <v>680000000</v>
      </c>
      <c r="Y150" t="s">
        <v>113</v>
      </c>
      <c r="Z150">
        <v>0</v>
      </c>
      <c r="AA150">
        <v>1</v>
      </c>
      <c r="AB150">
        <v>0</v>
      </c>
      <c r="AC150">
        <v>0</v>
      </c>
      <c r="AD150">
        <v>1</v>
      </c>
      <c r="AE150" t="s">
        <v>113</v>
      </c>
      <c r="AF150">
        <v>0</v>
      </c>
      <c r="AG150">
        <v>0</v>
      </c>
      <c r="AH150">
        <v>0</v>
      </c>
      <c r="AI150">
        <v>7</v>
      </c>
      <c r="AJ150">
        <v>1</v>
      </c>
      <c r="AK150">
        <v>6511.9750909090899</v>
      </c>
      <c r="AL150">
        <v>5</v>
      </c>
      <c r="AM150">
        <v>1</v>
      </c>
      <c r="AN150">
        <v>2018</v>
      </c>
      <c r="AO150" t="s">
        <v>59</v>
      </c>
      <c r="AP150">
        <v>3.5092427195981053E-2</v>
      </c>
      <c r="AQ150">
        <v>254.00039174159869</v>
      </c>
      <c r="AR150">
        <v>-778.74039174159873</v>
      </c>
    </row>
    <row r="151" spans="1:44" x14ac:dyDescent="0.25">
      <c r="A151" s="1">
        <v>1025</v>
      </c>
      <c r="B151">
        <v>1165</v>
      </c>
      <c r="C151">
        <v>1165</v>
      </c>
      <c r="D151">
        <v>1165</v>
      </c>
      <c r="E151">
        <v>18055</v>
      </c>
      <c r="F151">
        <v>4295863497</v>
      </c>
      <c r="G151" s="2">
        <v>43100</v>
      </c>
      <c r="H151" t="s">
        <v>112</v>
      </c>
      <c r="I151" t="s">
        <v>100</v>
      </c>
      <c r="J151" t="s">
        <v>46</v>
      </c>
      <c r="K151">
        <v>-97.182000000000002</v>
      </c>
      <c r="L151">
        <v>4.9580000000000002</v>
      </c>
      <c r="M151">
        <v>815.42100000000005</v>
      </c>
      <c r="N151">
        <v>6.080294718924335E-3</v>
      </c>
      <c r="O151">
        <v>7.3237564164112419E-4</v>
      </c>
      <c r="P151">
        <v>6769.75</v>
      </c>
      <c r="Q151">
        <v>2017</v>
      </c>
      <c r="R151">
        <v>0</v>
      </c>
      <c r="S151">
        <v>0</v>
      </c>
      <c r="T151">
        <v>4295</v>
      </c>
      <c r="U151">
        <v>0</v>
      </c>
      <c r="V151">
        <v>0</v>
      </c>
      <c r="W151">
        <v>0</v>
      </c>
      <c r="X151">
        <v>600000000</v>
      </c>
      <c r="Y151" t="s">
        <v>113</v>
      </c>
      <c r="Z151">
        <v>0</v>
      </c>
      <c r="AA151">
        <v>1</v>
      </c>
      <c r="AB151">
        <v>0</v>
      </c>
      <c r="AC151">
        <v>0</v>
      </c>
      <c r="AD151">
        <v>1</v>
      </c>
      <c r="AE151" t="s">
        <v>113</v>
      </c>
      <c r="AF151">
        <v>0</v>
      </c>
      <c r="AG151">
        <v>0</v>
      </c>
      <c r="AH151">
        <v>0</v>
      </c>
      <c r="AI151">
        <v>7</v>
      </c>
      <c r="AJ151">
        <v>1</v>
      </c>
      <c r="AK151">
        <v>6511.9750909090899</v>
      </c>
      <c r="AL151">
        <v>5</v>
      </c>
      <c r="AM151">
        <v>1</v>
      </c>
      <c r="AN151">
        <v>2017</v>
      </c>
      <c r="AO151" t="s">
        <v>59</v>
      </c>
      <c r="AP151">
        <v>3.5092427195981053E-2</v>
      </c>
      <c r="AQ151">
        <v>237.5669590099927</v>
      </c>
      <c r="AR151">
        <v>-334.74895900999269</v>
      </c>
    </row>
    <row r="152" spans="1:44" x14ac:dyDescent="0.25">
      <c r="A152" s="1">
        <v>1255</v>
      </c>
      <c r="B152">
        <v>1166</v>
      </c>
      <c r="C152">
        <v>1166</v>
      </c>
      <c r="D152">
        <v>1166</v>
      </c>
      <c r="E152">
        <v>18056</v>
      </c>
      <c r="F152">
        <v>4295863497</v>
      </c>
      <c r="G152" s="2">
        <v>42735</v>
      </c>
      <c r="H152" t="s">
        <v>112</v>
      </c>
      <c r="I152" t="s">
        <v>100</v>
      </c>
      <c r="J152" t="s">
        <v>46</v>
      </c>
      <c r="K152">
        <v>109.005</v>
      </c>
      <c r="L152">
        <v>164.42699999999999</v>
      </c>
      <c r="M152">
        <v>798.17600000000004</v>
      </c>
      <c r="N152">
        <v>0.20600343783827119</v>
      </c>
      <c r="O152">
        <v>2.8139662759421261E-2</v>
      </c>
      <c r="P152">
        <v>5843.2470000000003</v>
      </c>
      <c r="Q152">
        <v>2016</v>
      </c>
      <c r="R152">
        <v>0</v>
      </c>
      <c r="S152">
        <v>0</v>
      </c>
      <c r="T152">
        <v>4295</v>
      </c>
      <c r="U152">
        <v>0</v>
      </c>
      <c r="V152">
        <v>0</v>
      </c>
      <c r="W152">
        <v>0</v>
      </c>
      <c r="X152">
        <v>700000000</v>
      </c>
      <c r="Y152" t="s">
        <v>113</v>
      </c>
      <c r="Z152">
        <v>0</v>
      </c>
      <c r="AA152">
        <v>1</v>
      </c>
      <c r="AB152">
        <v>0</v>
      </c>
      <c r="AC152">
        <v>0</v>
      </c>
      <c r="AD152">
        <v>1</v>
      </c>
      <c r="AE152" t="s">
        <v>113</v>
      </c>
      <c r="AF152">
        <v>0</v>
      </c>
      <c r="AG152">
        <v>0</v>
      </c>
      <c r="AH152">
        <v>0</v>
      </c>
      <c r="AI152">
        <v>7</v>
      </c>
      <c r="AJ152">
        <v>1</v>
      </c>
      <c r="AK152">
        <v>6511.9750909090899</v>
      </c>
      <c r="AL152">
        <v>5</v>
      </c>
      <c r="AM152">
        <v>1</v>
      </c>
      <c r="AN152">
        <v>2016</v>
      </c>
      <c r="AO152" t="s">
        <v>62</v>
      </c>
      <c r="AP152">
        <v>3.5494312143141332E-2</v>
      </c>
      <c r="AQ152">
        <v>207.4020329474742</v>
      </c>
      <c r="AR152">
        <v>-98.397032947474173</v>
      </c>
    </row>
    <row r="153" spans="1:44" x14ac:dyDescent="0.25">
      <c r="A153" s="1">
        <v>1256</v>
      </c>
      <c r="B153">
        <v>1167</v>
      </c>
      <c r="C153">
        <v>1167</v>
      </c>
      <c r="D153">
        <v>1167</v>
      </c>
      <c r="E153">
        <v>18057</v>
      </c>
      <c r="F153">
        <v>4295863497</v>
      </c>
      <c r="G153" s="2">
        <v>42369</v>
      </c>
      <c r="H153" t="s">
        <v>112</v>
      </c>
      <c r="I153" t="s">
        <v>100</v>
      </c>
      <c r="J153" t="s">
        <v>46</v>
      </c>
      <c r="K153">
        <v>78.054000000000002</v>
      </c>
      <c r="L153">
        <v>155.62100000000001</v>
      </c>
      <c r="M153">
        <v>688.33399999999995</v>
      </c>
      <c r="N153">
        <v>0.22608355827258281</v>
      </c>
      <c r="O153">
        <v>2.8535232589439279E-2</v>
      </c>
      <c r="P153">
        <v>5453.6440000000002</v>
      </c>
      <c r="Q153">
        <v>2015</v>
      </c>
      <c r="R153">
        <v>0</v>
      </c>
      <c r="S153">
        <v>0</v>
      </c>
      <c r="T153">
        <v>4295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7</v>
      </c>
      <c r="AJ153">
        <v>1</v>
      </c>
      <c r="AK153">
        <v>6511.9750909090899</v>
      </c>
      <c r="AL153">
        <v>5</v>
      </c>
      <c r="AM153">
        <v>1</v>
      </c>
      <c r="AN153">
        <v>2015</v>
      </c>
      <c r="AO153" t="s">
        <v>62</v>
      </c>
      <c r="AP153">
        <v>3.5494312143141332E-2</v>
      </c>
      <c r="AQ153">
        <v>193.57334245356989</v>
      </c>
      <c r="AR153">
        <v>-115.51934245356991</v>
      </c>
    </row>
    <row r="154" spans="1:44" x14ac:dyDescent="0.25">
      <c r="A154" s="1">
        <v>1257</v>
      </c>
      <c r="B154">
        <v>1168</v>
      </c>
      <c r="C154">
        <v>1168</v>
      </c>
      <c r="D154">
        <v>1168</v>
      </c>
      <c r="E154">
        <v>18058</v>
      </c>
      <c r="F154">
        <v>4295863497</v>
      </c>
      <c r="G154" s="2">
        <v>42004</v>
      </c>
      <c r="H154" t="s">
        <v>112</v>
      </c>
      <c r="I154" t="s">
        <v>100</v>
      </c>
      <c r="J154" t="s">
        <v>46</v>
      </c>
      <c r="K154">
        <v>50.585999999999999</v>
      </c>
      <c r="L154">
        <v>137.91300000000001</v>
      </c>
      <c r="M154">
        <v>533.10500000000002</v>
      </c>
      <c r="N154">
        <v>0.2586976299228107</v>
      </c>
      <c r="O154">
        <v>2.4377917915497382E-2</v>
      </c>
      <c r="P154">
        <v>5657.2920000000004</v>
      </c>
      <c r="Q154">
        <v>2014</v>
      </c>
      <c r="R154">
        <v>0</v>
      </c>
      <c r="S154">
        <v>0</v>
      </c>
      <c r="T154">
        <v>4295</v>
      </c>
      <c r="U154">
        <v>0</v>
      </c>
      <c r="V154">
        <v>0</v>
      </c>
      <c r="W154">
        <v>0</v>
      </c>
      <c r="X154">
        <v>600000000</v>
      </c>
      <c r="Y154" t="s">
        <v>113</v>
      </c>
      <c r="Z154">
        <v>0</v>
      </c>
      <c r="AA154">
        <v>1</v>
      </c>
      <c r="AB154">
        <v>0</v>
      </c>
      <c r="AC154">
        <v>0</v>
      </c>
      <c r="AD154">
        <v>1</v>
      </c>
      <c r="AE154" t="s">
        <v>113</v>
      </c>
      <c r="AF154">
        <v>0</v>
      </c>
      <c r="AG154">
        <v>0</v>
      </c>
      <c r="AH154">
        <v>0</v>
      </c>
      <c r="AI154">
        <v>7</v>
      </c>
      <c r="AJ154">
        <v>1</v>
      </c>
      <c r="AK154">
        <v>6511.9750909090899</v>
      </c>
      <c r="AL154">
        <v>5</v>
      </c>
      <c r="AM154">
        <v>1</v>
      </c>
      <c r="AN154">
        <v>2014</v>
      </c>
      <c r="AO154" t="s">
        <v>62</v>
      </c>
      <c r="AP154">
        <v>3.5494312143141332E-2</v>
      </c>
      <c r="AQ154">
        <v>200.80168813289629</v>
      </c>
      <c r="AR154">
        <v>-150.2156881328963</v>
      </c>
    </row>
    <row r="155" spans="1:44" x14ac:dyDescent="0.25">
      <c r="A155" s="1">
        <v>1258</v>
      </c>
      <c r="B155">
        <v>1169</v>
      </c>
      <c r="C155">
        <v>1169</v>
      </c>
      <c r="D155">
        <v>1169</v>
      </c>
      <c r="E155">
        <v>18059</v>
      </c>
      <c r="F155">
        <v>4295863497</v>
      </c>
      <c r="G155" s="2">
        <v>41639</v>
      </c>
      <c r="H155" t="s">
        <v>112</v>
      </c>
      <c r="I155" t="s">
        <v>100</v>
      </c>
      <c r="J155" t="s">
        <v>46</v>
      </c>
      <c r="K155">
        <v>178.17500000000001</v>
      </c>
      <c r="L155">
        <v>103.90900000000001</v>
      </c>
      <c r="M155">
        <v>217.86199999999999</v>
      </c>
      <c r="N155">
        <v>0.47694871065169703</v>
      </c>
      <c r="O155">
        <v>1.6561707898134711E-2</v>
      </c>
      <c r="P155">
        <v>6274.0510000000004</v>
      </c>
      <c r="Q155">
        <v>2013</v>
      </c>
      <c r="R155">
        <v>0</v>
      </c>
      <c r="S155">
        <v>0</v>
      </c>
      <c r="T155">
        <v>4295</v>
      </c>
      <c r="U155">
        <v>0</v>
      </c>
      <c r="V155">
        <v>249535747</v>
      </c>
      <c r="W155">
        <v>0</v>
      </c>
      <c r="X155">
        <v>0</v>
      </c>
      <c r="Y155" t="s">
        <v>113</v>
      </c>
      <c r="Z155">
        <v>0</v>
      </c>
      <c r="AA155">
        <v>1</v>
      </c>
      <c r="AB155">
        <v>1</v>
      </c>
      <c r="AC155">
        <v>0</v>
      </c>
      <c r="AD155">
        <v>0</v>
      </c>
      <c r="AE155" t="s">
        <v>113</v>
      </c>
      <c r="AF155">
        <v>0</v>
      </c>
      <c r="AG155">
        <v>0</v>
      </c>
      <c r="AH155">
        <v>0</v>
      </c>
      <c r="AI155">
        <v>7</v>
      </c>
      <c r="AJ155">
        <v>1</v>
      </c>
      <c r="AK155">
        <v>6511.9750909090899</v>
      </c>
      <c r="AL155">
        <v>5</v>
      </c>
      <c r="AM155">
        <v>1</v>
      </c>
      <c r="AN155">
        <v>2013</v>
      </c>
      <c r="AO155" t="s">
        <v>62</v>
      </c>
      <c r="AP155">
        <v>3.5494312143141332E-2</v>
      </c>
      <c r="AQ155">
        <v>222.693124595988</v>
      </c>
      <c r="AR155">
        <v>-44.518124595988013</v>
      </c>
    </row>
    <row r="156" spans="1:44" x14ac:dyDescent="0.25">
      <c r="A156" s="1">
        <v>261</v>
      </c>
      <c r="B156">
        <v>1345</v>
      </c>
      <c r="C156">
        <v>1345</v>
      </c>
      <c r="D156">
        <v>1345</v>
      </c>
      <c r="E156">
        <v>1700</v>
      </c>
      <c r="F156" t="s">
        <v>78</v>
      </c>
      <c r="G156" s="2">
        <v>45291</v>
      </c>
      <c r="H156" t="s">
        <v>79</v>
      </c>
      <c r="I156" t="s">
        <v>65</v>
      </c>
      <c r="J156" t="s">
        <v>46</v>
      </c>
      <c r="K156">
        <v>1450462000</v>
      </c>
      <c r="L156">
        <v>777561000</v>
      </c>
      <c r="M156">
        <v>14504637000</v>
      </c>
      <c r="N156">
        <v>5.3607753161971583E-2</v>
      </c>
      <c r="O156">
        <v>2.1098026085153911E-2</v>
      </c>
      <c r="P156">
        <v>36854680000</v>
      </c>
      <c r="Q156">
        <v>2023</v>
      </c>
      <c r="R156">
        <v>0</v>
      </c>
      <c r="S156">
        <v>0</v>
      </c>
      <c r="T156" t="s">
        <v>80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1</v>
      </c>
      <c r="AJ156">
        <v>1</v>
      </c>
      <c r="AK156">
        <v>27692820849.0909</v>
      </c>
      <c r="AL156">
        <v>10</v>
      </c>
      <c r="AM156">
        <v>1</v>
      </c>
      <c r="AN156">
        <v>2023</v>
      </c>
      <c r="AO156" t="s">
        <v>48</v>
      </c>
      <c r="AP156">
        <v>3.5835499651311283E-2</v>
      </c>
      <c r="AQ156">
        <v>1320705872.2891891</v>
      </c>
      <c r="AR156">
        <v>129756127.71081141</v>
      </c>
    </row>
    <row r="157" spans="1:44" x14ac:dyDescent="0.25">
      <c r="A157" s="1">
        <v>262</v>
      </c>
      <c r="B157">
        <v>1346</v>
      </c>
      <c r="C157">
        <v>1346</v>
      </c>
      <c r="D157">
        <v>1346</v>
      </c>
      <c r="E157">
        <v>1701</v>
      </c>
      <c r="F157" t="s">
        <v>78</v>
      </c>
      <c r="G157" s="2">
        <v>44926</v>
      </c>
      <c r="H157" t="s">
        <v>79</v>
      </c>
      <c r="I157" t="s">
        <v>65</v>
      </c>
      <c r="J157" t="s">
        <v>46</v>
      </c>
      <c r="K157">
        <v>655261000</v>
      </c>
      <c r="L157">
        <v>-36449000</v>
      </c>
      <c r="M157">
        <v>12957150000</v>
      </c>
      <c r="N157">
        <v>-2.813041448157967E-3</v>
      </c>
      <c r="O157">
        <v>-1.048178811960678E-3</v>
      </c>
      <c r="P157">
        <v>34773647000</v>
      </c>
      <c r="Q157">
        <v>2022</v>
      </c>
      <c r="R157">
        <v>0</v>
      </c>
      <c r="S157">
        <v>0</v>
      </c>
      <c r="T157" t="s">
        <v>80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1</v>
      </c>
      <c r="AJ157">
        <v>1</v>
      </c>
      <c r="AK157">
        <v>27692820849.0909</v>
      </c>
      <c r="AL157">
        <v>10</v>
      </c>
      <c r="AM157">
        <v>1</v>
      </c>
      <c r="AN157">
        <v>2022</v>
      </c>
      <c r="AO157" t="s">
        <v>48</v>
      </c>
      <c r="AP157">
        <v>3.5835499651311283E-2</v>
      </c>
      <c r="AQ157">
        <v>1246131014.943321</v>
      </c>
      <c r="AR157">
        <v>-590870014.94332147</v>
      </c>
    </row>
    <row r="158" spans="1:44" x14ac:dyDescent="0.25">
      <c r="A158" s="1">
        <v>263</v>
      </c>
      <c r="B158">
        <v>1347</v>
      </c>
      <c r="C158">
        <v>1347</v>
      </c>
      <c r="D158">
        <v>1347</v>
      </c>
      <c r="E158">
        <v>1702</v>
      </c>
      <c r="F158" t="s">
        <v>78</v>
      </c>
      <c r="G158" s="2">
        <v>44561</v>
      </c>
      <c r="H158" t="s">
        <v>79</v>
      </c>
      <c r="I158" t="s">
        <v>65</v>
      </c>
      <c r="J158" t="s">
        <v>46</v>
      </c>
      <c r="K158">
        <v>1940803000</v>
      </c>
      <c r="L158">
        <v>1134511000</v>
      </c>
      <c r="M158">
        <v>12832657000</v>
      </c>
      <c r="N158">
        <v>8.8408113767865851E-2</v>
      </c>
      <c r="O158">
        <v>3.2452673476522663E-2</v>
      </c>
      <c r="P158">
        <v>34958938000</v>
      </c>
      <c r="Q158">
        <v>2021</v>
      </c>
      <c r="R158">
        <v>0</v>
      </c>
      <c r="S158">
        <v>0</v>
      </c>
      <c r="T158" t="s">
        <v>80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1</v>
      </c>
      <c r="AJ158">
        <v>1</v>
      </c>
      <c r="AK158">
        <v>27692820849.0909</v>
      </c>
      <c r="AL158">
        <v>10</v>
      </c>
      <c r="AM158">
        <v>1</v>
      </c>
      <c r="AN158">
        <v>2021</v>
      </c>
      <c r="AO158" t="s">
        <v>48</v>
      </c>
      <c r="AP158">
        <v>3.5835499651311283E-2</v>
      </c>
      <c r="AQ158">
        <v>1252771010.509212</v>
      </c>
      <c r="AR158">
        <v>688031989.49078751</v>
      </c>
    </row>
    <row r="159" spans="1:44" x14ac:dyDescent="0.25">
      <c r="A159" s="1">
        <v>264</v>
      </c>
      <c r="B159">
        <v>1348</v>
      </c>
      <c r="C159">
        <v>1348</v>
      </c>
      <c r="D159">
        <v>1348</v>
      </c>
      <c r="E159">
        <v>1703</v>
      </c>
      <c r="F159" t="s">
        <v>78</v>
      </c>
      <c r="G159" s="2">
        <v>44196</v>
      </c>
      <c r="H159" t="s">
        <v>79</v>
      </c>
      <c r="I159" t="s">
        <v>65</v>
      </c>
      <c r="J159" t="s">
        <v>46</v>
      </c>
      <c r="K159">
        <v>1747812000</v>
      </c>
      <c r="L159">
        <v>1181252000</v>
      </c>
      <c r="M159">
        <v>8105859000</v>
      </c>
      <c r="N159">
        <v>0.1457281702037995</v>
      </c>
      <c r="O159">
        <v>4.3858000491431542E-2</v>
      </c>
      <c r="P159">
        <v>26933558000</v>
      </c>
      <c r="Q159">
        <v>2020</v>
      </c>
      <c r="R159">
        <v>0</v>
      </c>
      <c r="S159">
        <v>0</v>
      </c>
      <c r="T159" t="s">
        <v>80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1</v>
      </c>
      <c r="AJ159">
        <v>1</v>
      </c>
      <c r="AK159">
        <v>27692820849.0909</v>
      </c>
      <c r="AL159">
        <v>10</v>
      </c>
      <c r="AM159">
        <v>1</v>
      </c>
      <c r="AN159">
        <v>2020</v>
      </c>
      <c r="AO159" t="s">
        <v>48</v>
      </c>
      <c r="AP159">
        <v>3.5835499651311283E-2</v>
      </c>
      <c r="AQ159">
        <v>965177508.317572</v>
      </c>
      <c r="AR159">
        <v>782634491.682428</v>
      </c>
    </row>
    <row r="160" spans="1:44" x14ac:dyDescent="0.25">
      <c r="A160" s="1">
        <v>381</v>
      </c>
      <c r="B160">
        <v>1349</v>
      </c>
      <c r="C160">
        <v>1349</v>
      </c>
      <c r="D160">
        <v>1349</v>
      </c>
      <c r="E160">
        <v>1704</v>
      </c>
      <c r="F160" t="s">
        <v>78</v>
      </c>
      <c r="G160" s="2">
        <v>43830</v>
      </c>
      <c r="H160" t="s">
        <v>79</v>
      </c>
      <c r="I160" t="s">
        <v>65</v>
      </c>
      <c r="J160" t="s">
        <v>46</v>
      </c>
      <c r="K160">
        <v>2406109000</v>
      </c>
      <c r="L160">
        <v>2169763000</v>
      </c>
      <c r="M160">
        <v>9966287000</v>
      </c>
      <c r="N160">
        <v>0.2177102666218623</v>
      </c>
      <c r="O160">
        <v>7.2868586057998175E-2</v>
      </c>
      <c r="P160">
        <v>29776384000</v>
      </c>
      <c r="Q160">
        <v>2019</v>
      </c>
      <c r="R160">
        <v>0</v>
      </c>
      <c r="S160">
        <v>0</v>
      </c>
      <c r="T160" t="s">
        <v>80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1</v>
      </c>
      <c r="AJ160">
        <v>1</v>
      </c>
      <c r="AK160">
        <v>27692820849.0909</v>
      </c>
      <c r="AL160">
        <v>10</v>
      </c>
      <c r="AM160">
        <v>1</v>
      </c>
      <c r="AN160">
        <v>2019</v>
      </c>
      <c r="AO160" t="s">
        <v>59</v>
      </c>
      <c r="AP160">
        <v>4.4682896773591482E-2</v>
      </c>
      <c r="AQ160">
        <v>1330495092.5628209</v>
      </c>
      <c r="AR160">
        <v>1075613907.4371791</v>
      </c>
    </row>
    <row r="161" spans="1:44" x14ac:dyDescent="0.25">
      <c r="A161" s="1">
        <v>382</v>
      </c>
      <c r="B161">
        <v>1350</v>
      </c>
      <c r="C161">
        <v>1350</v>
      </c>
      <c r="D161">
        <v>1350</v>
      </c>
      <c r="E161">
        <v>1705</v>
      </c>
      <c r="F161" t="s">
        <v>78</v>
      </c>
      <c r="G161" s="2">
        <v>43465</v>
      </c>
      <c r="H161" t="s">
        <v>79</v>
      </c>
      <c r="I161" t="s">
        <v>65</v>
      </c>
      <c r="J161" t="s">
        <v>46</v>
      </c>
      <c r="K161">
        <v>2104990000</v>
      </c>
      <c r="L161">
        <v>1667058000</v>
      </c>
      <c r="M161">
        <v>6724008000</v>
      </c>
      <c r="N161">
        <v>0.2479262368515921</v>
      </c>
      <c r="O161">
        <v>6.0849625402736043E-2</v>
      </c>
      <c r="P161">
        <v>27396356000</v>
      </c>
      <c r="Q161">
        <v>2018</v>
      </c>
      <c r="R161">
        <v>0</v>
      </c>
      <c r="S161">
        <v>0</v>
      </c>
      <c r="T161" t="s">
        <v>80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1</v>
      </c>
      <c r="AJ161">
        <v>1</v>
      </c>
      <c r="AK161">
        <v>27692820849.0909</v>
      </c>
      <c r="AL161">
        <v>10</v>
      </c>
      <c r="AM161">
        <v>1</v>
      </c>
      <c r="AN161">
        <v>2018</v>
      </c>
      <c r="AO161" t="s">
        <v>59</v>
      </c>
      <c r="AP161">
        <v>4.4682896773591482E-2</v>
      </c>
      <c r="AQ161">
        <v>1224148547.120564</v>
      </c>
      <c r="AR161">
        <v>880841452.87943649</v>
      </c>
    </row>
    <row r="162" spans="1:44" x14ac:dyDescent="0.25">
      <c r="A162" s="1">
        <v>383</v>
      </c>
      <c r="B162">
        <v>1351</v>
      </c>
      <c r="C162">
        <v>1351</v>
      </c>
      <c r="D162">
        <v>1351</v>
      </c>
      <c r="E162">
        <v>1706</v>
      </c>
      <c r="F162" t="s">
        <v>78</v>
      </c>
      <c r="G162" s="2">
        <v>43100</v>
      </c>
      <c r="H162" t="s">
        <v>79</v>
      </c>
      <c r="I162" t="s">
        <v>65</v>
      </c>
      <c r="J162" t="s">
        <v>46</v>
      </c>
      <c r="K162">
        <v>1645648000</v>
      </c>
      <c r="L162">
        <v>1126514000</v>
      </c>
      <c r="M162">
        <v>6480471000</v>
      </c>
      <c r="N162">
        <v>0.17383211806672691</v>
      </c>
      <c r="O162">
        <v>5.5853760854967897E-2</v>
      </c>
      <c r="P162">
        <v>20168991000</v>
      </c>
      <c r="Q162">
        <v>2017</v>
      </c>
      <c r="R162">
        <v>0</v>
      </c>
      <c r="S162">
        <v>0</v>
      </c>
      <c r="T162" t="s">
        <v>80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1</v>
      </c>
      <c r="AJ162">
        <v>1</v>
      </c>
      <c r="AK162">
        <v>27692820849.0909</v>
      </c>
      <c r="AL162">
        <v>10</v>
      </c>
      <c r="AM162">
        <v>1</v>
      </c>
      <c r="AN162">
        <v>2017</v>
      </c>
      <c r="AO162" t="s">
        <v>59</v>
      </c>
      <c r="AP162">
        <v>4.4682896773591482E-2</v>
      </c>
      <c r="AQ162">
        <v>901208942.88049555</v>
      </c>
      <c r="AR162">
        <v>744439057.11950445</v>
      </c>
    </row>
    <row r="163" spans="1:44" x14ac:dyDescent="0.25">
      <c r="A163" s="1">
        <v>501</v>
      </c>
      <c r="B163">
        <v>1352</v>
      </c>
      <c r="C163">
        <v>1352</v>
      </c>
      <c r="D163">
        <v>1352</v>
      </c>
      <c r="E163">
        <v>1707</v>
      </c>
      <c r="F163" t="s">
        <v>78</v>
      </c>
      <c r="G163" s="2">
        <v>42735</v>
      </c>
      <c r="H163" t="s">
        <v>79</v>
      </c>
      <c r="I163" t="s">
        <v>65</v>
      </c>
      <c r="J163" t="s">
        <v>46</v>
      </c>
      <c r="K163">
        <v>1376069000</v>
      </c>
      <c r="L163">
        <v>844608000</v>
      </c>
      <c r="M163">
        <v>6199634000</v>
      </c>
      <c r="N163">
        <v>0.1362351390420789</v>
      </c>
      <c r="O163">
        <v>5.0120725358591821E-2</v>
      </c>
      <c r="P163">
        <v>16851472000</v>
      </c>
      <c r="Q163">
        <v>2016</v>
      </c>
      <c r="R163">
        <v>0</v>
      </c>
      <c r="S163">
        <v>0</v>
      </c>
      <c r="T163" t="s">
        <v>80</v>
      </c>
      <c r="U163">
        <v>0</v>
      </c>
      <c r="V163">
        <v>0</v>
      </c>
      <c r="W163">
        <v>0</v>
      </c>
      <c r="X163">
        <v>600000000</v>
      </c>
      <c r="Y163" t="s">
        <v>89</v>
      </c>
      <c r="Z163">
        <v>0</v>
      </c>
      <c r="AA163">
        <v>1</v>
      </c>
      <c r="AB163">
        <v>0</v>
      </c>
      <c r="AC163">
        <v>0</v>
      </c>
      <c r="AD163">
        <v>1</v>
      </c>
      <c r="AE163" t="s">
        <v>83</v>
      </c>
      <c r="AF163">
        <v>0</v>
      </c>
      <c r="AG163">
        <v>0</v>
      </c>
      <c r="AH163">
        <v>0</v>
      </c>
      <c r="AI163">
        <v>1</v>
      </c>
      <c r="AJ163">
        <v>1</v>
      </c>
      <c r="AK163">
        <v>27692820849.0909</v>
      </c>
      <c r="AL163">
        <v>10</v>
      </c>
      <c r="AM163">
        <v>1</v>
      </c>
      <c r="AN163">
        <v>2016</v>
      </c>
      <c r="AO163" t="s">
        <v>62</v>
      </c>
      <c r="AP163">
        <v>5.573875737993636E-2</v>
      </c>
      <c r="AQ163">
        <v>939280109.30279088</v>
      </c>
      <c r="AR163">
        <v>436788890.69720912</v>
      </c>
    </row>
    <row r="164" spans="1:44" x14ac:dyDescent="0.25">
      <c r="A164" s="1">
        <v>502</v>
      </c>
      <c r="B164">
        <v>1353</v>
      </c>
      <c r="C164">
        <v>1353</v>
      </c>
      <c r="D164">
        <v>1353</v>
      </c>
      <c r="E164">
        <v>1708</v>
      </c>
      <c r="F164" t="s">
        <v>78</v>
      </c>
      <c r="G164" s="2">
        <v>42369</v>
      </c>
      <c r="H164" t="s">
        <v>79</v>
      </c>
      <c r="I164" t="s">
        <v>65</v>
      </c>
      <c r="J164" t="s">
        <v>46</v>
      </c>
      <c r="K164">
        <v>1956832809</v>
      </c>
      <c r="L164">
        <v>1156151758</v>
      </c>
      <c r="M164">
        <v>8485622000</v>
      </c>
      <c r="N164">
        <v>0.13624832192619471</v>
      </c>
      <c r="O164">
        <v>5.3145480354152501E-2</v>
      </c>
      <c r="P164">
        <v>21754470000</v>
      </c>
      <c r="Q164">
        <v>2015</v>
      </c>
      <c r="R164">
        <v>0</v>
      </c>
      <c r="S164">
        <v>0</v>
      </c>
      <c r="T164" t="s">
        <v>80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1</v>
      </c>
      <c r="AJ164">
        <v>1</v>
      </c>
      <c r="AK164">
        <v>27692820849.0909</v>
      </c>
      <c r="AL164">
        <v>10</v>
      </c>
      <c r="AM164">
        <v>1</v>
      </c>
      <c r="AN164">
        <v>2015</v>
      </c>
      <c r="AO164" t="s">
        <v>62</v>
      </c>
      <c r="AP164">
        <v>5.573875737993636E-2</v>
      </c>
      <c r="AQ164">
        <v>1212567125.259104</v>
      </c>
      <c r="AR164">
        <v>744265683.74089575</v>
      </c>
    </row>
    <row r="165" spans="1:44" x14ac:dyDescent="0.25">
      <c r="A165" s="1">
        <v>503</v>
      </c>
      <c r="B165">
        <v>1354</v>
      </c>
      <c r="C165">
        <v>1354</v>
      </c>
      <c r="D165">
        <v>1354</v>
      </c>
      <c r="E165">
        <v>1709</v>
      </c>
      <c r="F165" t="s">
        <v>78</v>
      </c>
      <c r="G165" s="2">
        <v>42004</v>
      </c>
      <c r="H165" t="s">
        <v>79</v>
      </c>
      <c r="I165" t="s">
        <v>65</v>
      </c>
      <c r="J165" t="s">
        <v>46</v>
      </c>
      <c r="K165">
        <v>2065245568</v>
      </c>
      <c r="L165">
        <v>1310417736</v>
      </c>
      <c r="M165">
        <v>10227058502</v>
      </c>
      <c r="N165">
        <v>0.12813241810866099</v>
      </c>
      <c r="O165">
        <v>4.9912574610506077E-2</v>
      </c>
      <c r="P165">
        <v>26254260499</v>
      </c>
      <c r="Q165">
        <v>2014</v>
      </c>
      <c r="R165">
        <v>0</v>
      </c>
      <c r="S165">
        <v>0</v>
      </c>
      <c r="T165" t="s">
        <v>80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1</v>
      </c>
      <c r="AJ165">
        <v>1</v>
      </c>
      <c r="AK165">
        <v>27692820849.0909</v>
      </c>
      <c r="AL165">
        <v>10</v>
      </c>
      <c r="AM165">
        <v>1</v>
      </c>
      <c r="AN165">
        <v>2014</v>
      </c>
      <c r="AO165" t="s">
        <v>62</v>
      </c>
      <c r="AP165">
        <v>5.573875737993636E-2</v>
      </c>
      <c r="AQ165">
        <v>1463379856.1434081</v>
      </c>
      <c r="AR165">
        <v>601865711.85659218</v>
      </c>
    </row>
    <row r="166" spans="1:44" x14ac:dyDescent="0.25">
      <c r="A166" s="1">
        <v>504</v>
      </c>
      <c r="B166">
        <v>1355</v>
      </c>
      <c r="C166">
        <v>1355</v>
      </c>
      <c r="D166">
        <v>1355</v>
      </c>
      <c r="E166">
        <v>1710</v>
      </c>
      <c r="F166" t="s">
        <v>78</v>
      </c>
      <c r="G166" s="2">
        <v>41639</v>
      </c>
      <c r="H166" t="s">
        <v>79</v>
      </c>
      <c r="I166" t="s">
        <v>65</v>
      </c>
      <c r="J166" t="s">
        <v>46</v>
      </c>
      <c r="K166">
        <v>3267488433</v>
      </c>
      <c r="L166">
        <v>2249069507</v>
      </c>
      <c r="M166">
        <v>11744927298</v>
      </c>
      <c r="N166">
        <v>0.19149284196786689</v>
      </c>
      <c r="O166">
        <v>7.7827125495510158E-2</v>
      </c>
      <c r="P166">
        <v>28898272841</v>
      </c>
      <c r="Q166">
        <v>2013</v>
      </c>
      <c r="R166">
        <v>0</v>
      </c>
      <c r="S166">
        <v>0</v>
      </c>
      <c r="T166" t="s">
        <v>80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1</v>
      </c>
      <c r="AJ166">
        <v>1</v>
      </c>
      <c r="AK166">
        <v>27692820849.0909</v>
      </c>
      <c r="AL166">
        <v>10</v>
      </c>
      <c r="AM166">
        <v>1</v>
      </c>
      <c r="AN166">
        <v>2013</v>
      </c>
      <c r="AO166" t="s">
        <v>62</v>
      </c>
      <c r="AP166">
        <v>5.573875737993636E-2</v>
      </c>
      <c r="AQ166">
        <v>1610753818.583703</v>
      </c>
      <c r="AR166">
        <v>1656734614.416297</v>
      </c>
    </row>
    <row r="167" spans="1:44" x14ac:dyDescent="0.25">
      <c r="A167" s="1">
        <v>265</v>
      </c>
      <c r="B167">
        <v>1356</v>
      </c>
      <c r="C167">
        <v>1356</v>
      </c>
      <c r="D167">
        <v>1356</v>
      </c>
      <c r="E167">
        <v>1838</v>
      </c>
      <c r="F167" t="s">
        <v>81</v>
      </c>
      <c r="G167" s="2">
        <v>45291</v>
      </c>
      <c r="H167" t="s">
        <v>82</v>
      </c>
      <c r="I167" t="s">
        <v>65</v>
      </c>
      <c r="J167" t="s">
        <v>46</v>
      </c>
      <c r="K167">
        <v>1029918776.2611001</v>
      </c>
      <c r="L167">
        <v>772233517.68152797</v>
      </c>
      <c r="M167">
        <v>5049035769.60639</v>
      </c>
      <c r="N167">
        <v>0.15294673139971229</v>
      </c>
      <c r="O167">
        <v>5.7464037637129872E-2</v>
      </c>
      <c r="P167">
        <v>13438553040.0418</v>
      </c>
      <c r="Q167">
        <v>2023</v>
      </c>
      <c r="R167">
        <v>0</v>
      </c>
      <c r="S167">
        <v>0</v>
      </c>
      <c r="T167" t="s">
        <v>83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1</v>
      </c>
      <c r="AJ167">
        <v>1</v>
      </c>
      <c r="AK167">
        <v>10430684900.840599</v>
      </c>
      <c r="AL167">
        <v>10</v>
      </c>
      <c r="AM167">
        <v>1</v>
      </c>
      <c r="AN167">
        <v>2023</v>
      </c>
      <c r="AO167" t="s">
        <v>48</v>
      </c>
      <c r="AP167">
        <v>3.5835499651311283E-2</v>
      </c>
      <c r="AQ167">
        <v>481577262.78054601</v>
      </c>
      <c r="AR167">
        <v>548341513.4805541</v>
      </c>
    </row>
    <row r="168" spans="1:44" x14ac:dyDescent="0.25">
      <c r="A168" s="1">
        <v>266</v>
      </c>
      <c r="B168">
        <v>1357</v>
      </c>
      <c r="C168">
        <v>1357</v>
      </c>
      <c r="D168">
        <v>1357</v>
      </c>
      <c r="E168">
        <v>1839</v>
      </c>
      <c r="F168" t="s">
        <v>81</v>
      </c>
      <c r="G168" s="2">
        <v>44926</v>
      </c>
      <c r="H168" t="s">
        <v>82</v>
      </c>
      <c r="I168" t="s">
        <v>65</v>
      </c>
      <c r="J168" t="s">
        <v>46</v>
      </c>
      <c r="K168">
        <v>2097995599.1979201</v>
      </c>
      <c r="L168">
        <v>1543977104.2698801</v>
      </c>
      <c r="M168">
        <v>4832744627.2705803</v>
      </c>
      <c r="N168">
        <v>0.31948245217788013</v>
      </c>
      <c r="O168">
        <v>0.11031772728894459</v>
      </c>
      <c r="P168">
        <v>13995729808.9172</v>
      </c>
      <c r="Q168">
        <v>2022</v>
      </c>
      <c r="R168">
        <v>0</v>
      </c>
      <c r="S168">
        <v>0</v>
      </c>
      <c r="T168" t="s">
        <v>83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1</v>
      </c>
      <c r="AJ168">
        <v>1</v>
      </c>
      <c r="AK168">
        <v>10430684900.840599</v>
      </c>
      <c r="AL168">
        <v>10</v>
      </c>
      <c r="AM168">
        <v>1</v>
      </c>
      <c r="AN168">
        <v>2022</v>
      </c>
      <c r="AO168" t="s">
        <v>48</v>
      </c>
      <c r="AP168">
        <v>3.5835499651311283E-2</v>
      </c>
      <c r="AQ168">
        <v>501543970.68729907</v>
      </c>
      <c r="AR168">
        <v>1596451628.5106211</v>
      </c>
    </row>
    <row r="169" spans="1:44" x14ac:dyDescent="0.25">
      <c r="A169" s="1">
        <v>267</v>
      </c>
      <c r="B169">
        <v>1358</v>
      </c>
      <c r="C169">
        <v>1358</v>
      </c>
      <c r="D169">
        <v>1358</v>
      </c>
      <c r="E169">
        <v>1840</v>
      </c>
      <c r="F169" t="s">
        <v>81</v>
      </c>
      <c r="G169" s="2">
        <v>44561</v>
      </c>
      <c r="H169" t="s">
        <v>82</v>
      </c>
      <c r="I169" t="s">
        <v>65</v>
      </c>
      <c r="J169" t="s">
        <v>46</v>
      </c>
      <c r="K169">
        <v>136116545.64681</v>
      </c>
      <c r="L169">
        <v>118329378.451416</v>
      </c>
      <c r="M169">
        <v>3639840621.5485802</v>
      </c>
      <c r="N169">
        <v>3.250949444074077E-2</v>
      </c>
      <c r="O169">
        <v>1.0600705647795319E-2</v>
      </c>
      <c r="P169">
        <v>11162405823.0525</v>
      </c>
      <c r="Q169">
        <v>2021</v>
      </c>
      <c r="R169">
        <v>0</v>
      </c>
      <c r="S169">
        <v>0</v>
      </c>
      <c r="T169" t="s">
        <v>83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1</v>
      </c>
      <c r="AJ169">
        <v>1</v>
      </c>
      <c r="AK169">
        <v>10430684900.840599</v>
      </c>
      <c r="AL169">
        <v>10</v>
      </c>
      <c r="AM169">
        <v>1</v>
      </c>
      <c r="AN169">
        <v>2021</v>
      </c>
      <c r="AO169" t="s">
        <v>48</v>
      </c>
      <c r="AP169">
        <v>3.5835499651311283E-2</v>
      </c>
      <c r="AQ169">
        <v>400010389.97979277</v>
      </c>
      <c r="AR169">
        <v>-263893844.33298281</v>
      </c>
    </row>
    <row r="170" spans="1:44" x14ac:dyDescent="0.25">
      <c r="A170" s="1">
        <v>268</v>
      </c>
      <c r="B170">
        <v>1359</v>
      </c>
      <c r="C170">
        <v>1359</v>
      </c>
      <c r="D170">
        <v>1359</v>
      </c>
      <c r="E170">
        <v>1841</v>
      </c>
      <c r="F170" t="s">
        <v>81</v>
      </c>
      <c r="G170" s="2">
        <v>44196</v>
      </c>
      <c r="H170" t="s">
        <v>82</v>
      </c>
      <c r="I170" t="s">
        <v>65</v>
      </c>
      <c r="J170" t="s">
        <v>46</v>
      </c>
      <c r="K170">
        <v>-188364835.50545999</v>
      </c>
      <c r="L170">
        <v>-73810264.177527294</v>
      </c>
      <c r="M170">
        <v>4722671067.2772102</v>
      </c>
      <c r="N170">
        <v>-1.5628923362660009E-2</v>
      </c>
      <c r="O170">
        <v>-6.6274936209574954E-3</v>
      </c>
      <c r="P170">
        <v>11136980040.859501</v>
      </c>
      <c r="Q170">
        <v>2020</v>
      </c>
      <c r="R170">
        <v>0</v>
      </c>
      <c r="S170">
        <v>0</v>
      </c>
      <c r="T170" t="s">
        <v>83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1</v>
      </c>
      <c r="AJ170">
        <v>1</v>
      </c>
      <c r="AK170">
        <v>10430684900.840599</v>
      </c>
      <c r="AL170">
        <v>10</v>
      </c>
      <c r="AM170">
        <v>1</v>
      </c>
      <c r="AN170">
        <v>2020</v>
      </c>
      <c r="AO170" t="s">
        <v>48</v>
      </c>
      <c r="AP170">
        <v>3.5835499651311283E-2</v>
      </c>
      <c r="AQ170">
        <v>399099244.37088132</v>
      </c>
      <c r="AR170">
        <v>-587464079.87634122</v>
      </c>
    </row>
    <row r="171" spans="1:44" x14ac:dyDescent="0.25">
      <c r="A171" s="1">
        <v>384</v>
      </c>
      <c r="B171">
        <v>1360</v>
      </c>
      <c r="C171">
        <v>1360</v>
      </c>
      <c r="D171">
        <v>1360</v>
      </c>
      <c r="E171">
        <v>1842</v>
      </c>
      <c r="F171" t="s">
        <v>81</v>
      </c>
      <c r="G171" s="2">
        <v>43830</v>
      </c>
      <c r="H171" t="s">
        <v>82</v>
      </c>
      <c r="I171" t="s">
        <v>65</v>
      </c>
      <c r="J171" t="s">
        <v>46</v>
      </c>
      <c r="K171">
        <v>502090648.03725898</v>
      </c>
      <c r="L171">
        <v>420616391.217565</v>
      </c>
      <c r="M171">
        <v>4636990001.3306704</v>
      </c>
      <c r="N171">
        <v>9.07089277951562E-2</v>
      </c>
      <c r="O171">
        <v>4.0225718263120457E-2</v>
      </c>
      <c r="P171">
        <v>10456404742.514999</v>
      </c>
      <c r="Q171">
        <v>2019</v>
      </c>
      <c r="R171">
        <v>0</v>
      </c>
      <c r="S171">
        <v>0</v>
      </c>
      <c r="T171" t="s">
        <v>83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1</v>
      </c>
      <c r="AJ171">
        <v>1</v>
      </c>
      <c r="AK171">
        <v>10430684900.840599</v>
      </c>
      <c r="AL171">
        <v>10</v>
      </c>
      <c r="AM171">
        <v>1</v>
      </c>
      <c r="AN171">
        <v>2019</v>
      </c>
      <c r="AO171" t="s">
        <v>59</v>
      </c>
      <c r="AP171">
        <v>4.4682896773591482E-2</v>
      </c>
      <c r="AQ171">
        <v>467222453.7326901</v>
      </c>
      <c r="AR171">
        <v>34868194.304568887</v>
      </c>
    </row>
    <row r="172" spans="1:44" x14ac:dyDescent="0.25">
      <c r="A172" s="1">
        <v>385</v>
      </c>
      <c r="B172">
        <v>1361</v>
      </c>
      <c r="C172">
        <v>1361</v>
      </c>
      <c r="D172">
        <v>1361</v>
      </c>
      <c r="E172">
        <v>1843</v>
      </c>
      <c r="F172" t="s">
        <v>81</v>
      </c>
      <c r="G172" s="2">
        <v>43465</v>
      </c>
      <c r="H172" t="s">
        <v>82</v>
      </c>
      <c r="I172" t="s">
        <v>65</v>
      </c>
      <c r="J172" t="s">
        <v>46</v>
      </c>
      <c r="K172">
        <v>817392330.23020899</v>
      </c>
      <c r="L172">
        <v>595868885.04005206</v>
      </c>
      <c r="M172">
        <v>4937906500.6855698</v>
      </c>
      <c r="N172">
        <v>0.1206723709647647</v>
      </c>
      <c r="O172">
        <v>5.5134434464378233E-2</v>
      </c>
      <c r="P172">
        <v>10807563201.2701</v>
      </c>
      <c r="Q172">
        <v>2018</v>
      </c>
      <c r="R172">
        <v>0</v>
      </c>
      <c r="S172">
        <v>0</v>
      </c>
      <c r="T172" t="s">
        <v>83</v>
      </c>
      <c r="U172">
        <v>0</v>
      </c>
      <c r="V172">
        <v>0</v>
      </c>
      <c r="W172">
        <v>0</v>
      </c>
      <c r="X172">
        <v>1000000000</v>
      </c>
      <c r="Y172" t="s">
        <v>88</v>
      </c>
      <c r="Z172">
        <v>0</v>
      </c>
      <c r="AA172">
        <v>1</v>
      </c>
      <c r="AB172">
        <v>0</v>
      </c>
      <c r="AC172">
        <v>0</v>
      </c>
      <c r="AD172">
        <v>1</v>
      </c>
      <c r="AE172" t="s">
        <v>83</v>
      </c>
      <c r="AF172">
        <v>0</v>
      </c>
      <c r="AG172">
        <v>0</v>
      </c>
      <c r="AH172">
        <v>0</v>
      </c>
      <c r="AI172">
        <v>1</v>
      </c>
      <c r="AJ172">
        <v>1</v>
      </c>
      <c r="AK172">
        <v>10430684900.840599</v>
      </c>
      <c r="AL172">
        <v>10</v>
      </c>
      <c r="AM172">
        <v>1</v>
      </c>
      <c r="AN172">
        <v>2018</v>
      </c>
      <c r="AO172" t="s">
        <v>59</v>
      </c>
      <c r="AP172">
        <v>4.4682896773591482E-2</v>
      </c>
      <c r="AQ172">
        <v>482913230.89641768</v>
      </c>
      <c r="AR172">
        <v>334479099.33379132</v>
      </c>
    </row>
    <row r="173" spans="1:44" x14ac:dyDescent="0.25">
      <c r="A173" s="1">
        <v>386</v>
      </c>
      <c r="B173">
        <v>1362</v>
      </c>
      <c r="C173">
        <v>1362</v>
      </c>
      <c r="D173">
        <v>1362</v>
      </c>
      <c r="E173">
        <v>1844</v>
      </c>
      <c r="F173" t="s">
        <v>81</v>
      </c>
      <c r="G173" s="2">
        <v>43100</v>
      </c>
      <c r="H173" t="s">
        <v>82</v>
      </c>
      <c r="I173" t="s">
        <v>65</v>
      </c>
      <c r="J173" t="s">
        <v>46</v>
      </c>
      <c r="K173">
        <v>1084780300.9842999</v>
      </c>
      <c r="L173">
        <v>851570667.85975802</v>
      </c>
      <c r="M173">
        <v>4853793231.9205999</v>
      </c>
      <c r="N173">
        <v>0.17544436426740809</v>
      </c>
      <c r="O173">
        <v>9.1911988461121141E-2</v>
      </c>
      <c r="P173">
        <v>9265066310.9086494</v>
      </c>
      <c r="Q173">
        <v>2017</v>
      </c>
      <c r="R173">
        <v>0</v>
      </c>
      <c r="S173">
        <v>0</v>
      </c>
      <c r="T173" t="s">
        <v>83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1</v>
      </c>
      <c r="AJ173">
        <v>1</v>
      </c>
      <c r="AK173">
        <v>10430684900.840599</v>
      </c>
      <c r="AL173">
        <v>10</v>
      </c>
      <c r="AM173">
        <v>1</v>
      </c>
      <c r="AN173">
        <v>2017</v>
      </c>
      <c r="AO173" t="s">
        <v>59</v>
      </c>
      <c r="AP173">
        <v>4.4682896773591482E-2</v>
      </c>
      <c r="AQ173">
        <v>413990001.57081121</v>
      </c>
      <c r="AR173">
        <v>670790299.41348875</v>
      </c>
    </row>
    <row r="174" spans="1:44" x14ac:dyDescent="0.25">
      <c r="A174" s="1">
        <v>505</v>
      </c>
      <c r="B174">
        <v>1363</v>
      </c>
      <c r="C174">
        <v>1363</v>
      </c>
      <c r="D174">
        <v>1363</v>
      </c>
      <c r="E174">
        <v>1845</v>
      </c>
      <c r="F174" t="s">
        <v>81</v>
      </c>
      <c r="G174" s="2">
        <v>42735</v>
      </c>
      <c r="H174" t="s">
        <v>82</v>
      </c>
      <c r="I174" t="s">
        <v>65</v>
      </c>
      <c r="J174" t="s">
        <v>46</v>
      </c>
      <c r="K174">
        <v>847973011.69896495</v>
      </c>
      <c r="L174">
        <v>698913862.45125401</v>
      </c>
      <c r="M174">
        <v>4128839946.80931</v>
      </c>
      <c r="N174">
        <v>0.16927608516076331</v>
      </c>
      <c r="O174">
        <v>8.664587861069975E-2</v>
      </c>
      <c r="P174">
        <v>8066325527.0510502</v>
      </c>
      <c r="Q174">
        <v>2016</v>
      </c>
      <c r="R174">
        <v>0</v>
      </c>
      <c r="S174">
        <v>0</v>
      </c>
      <c r="T174" t="s">
        <v>83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1</v>
      </c>
      <c r="AJ174">
        <v>1</v>
      </c>
      <c r="AK174">
        <v>10430684900.840599</v>
      </c>
      <c r="AL174">
        <v>10</v>
      </c>
      <c r="AM174">
        <v>1</v>
      </c>
      <c r="AN174">
        <v>2016</v>
      </c>
      <c r="AO174" t="s">
        <v>62</v>
      </c>
      <c r="AP174">
        <v>5.573875737993636E-2</v>
      </c>
      <c r="AQ174">
        <v>449606961.4998858</v>
      </c>
      <c r="AR174">
        <v>398366050.19907922</v>
      </c>
    </row>
    <row r="175" spans="1:44" x14ac:dyDescent="0.25">
      <c r="A175" s="1">
        <v>506</v>
      </c>
      <c r="B175">
        <v>1364</v>
      </c>
      <c r="C175">
        <v>1364</v>
      </c>
      <c r="D175">
        <v>1364</v>
      </c>
      <c r="E175">
        <v>1846</v>
      </c>
      <c r="F175" t="s">
        <v>81</v>
      </c>
      <c r="G175" s="2">
        <v>42369</v>
      </c>
      <c r="H175" t="s">
        <v>82</v>
      </c>
      <c r="I175" t="s">
        <v>65</v>
      </c>
      <c r="J175" t="s">
        <v>46</v>
      </c>
      <c r="K175">
        <v>645024741.117468</v>
      </c>
      <c r="L175">
        <v>490171878.22278702</v>
      </c>
      <c r="M175">
        <v>3662755530.12644</v>
      </c>
      <c r="N175">
        <v>0.13382598816412569</v>
      </c>
      <c r="O175">
        <v>6.515260392461926E-2</v>
      </c>
      <c r="P175">
        <v>7523442636.1517296</v>
      </c>
      <c r="Q175">
        <v>2015</v>
      </c>
      <c r="R175">
        <v>0</v>
      </c>
      <c r="S175">
        <v>0</v>
      </c>
      <c r="T175" t="s">
        <v>83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1</v>
      </c>
      <c r="AJ175">
        <v>1</v>
      </c>
      <c r="AK175">
        <v>10430684900.840599</v>
      </c>
      <c r="AL175">
        <v>10</v>
      </c>
      <c r="AM175">
        <v>1</v>
      </c>
      <c r="AN175">
        <v>2015</v>
      </c>
      <c r="AO175" t="s">
        <v>62</v>
      </c>
      <c r="AP175">
        <v>5.573875737993636E-2</v>
      </c>
      <c r="AQ175">
        <v>419347343.75833011</v>
      </c>
      <c r="AR175">
        <v>225677397.35913789</v>
      </c>
    </row>
    <row r="176" spans="1:44" x14ac:dyDescent="0.25">
      <c r="A176" s="1">
        <v>507</v>
      </c>
      <c r="B176">
        <v>1365</v>
      </c>
      <c r="C176">
        <v>1365</v>
      </c>
      <c r="D176">
        <v>1365</v>
      </c>
      <c r="E176">
        <v>1847</v>
      </c>
      <c r="F176" t="s">
        <v>81</v>
      </c>
      <c r="G176" s="2">
        <v>42004</v>
      </c>
      <c r="H176" t="s">
        <v>82</v>
      </c>
      <c r="I176" t="s">
        <v>65</v>
      </c>
      <c r="J176" t="s">
        <v>46</v>
      </c>
      <c r="K176">
        <v>547899983.50923502</v>
      </c>
      <c r="L176">
        <v>329088748.350923</v>
      </c>
      <c r="M176">
        <v>4076849330.4749298</v>
      </c>
      <c r="N176">
        <v>8.0721341819268572E-2</v>
      </c>
      <c r="O176">
        <v>3.8925247145783382E-2</v>
      </c>
      <c r="P176">
        <v>8454377877.6385202</v>
      </c>
      <c r="Q176">
        <v>2014</v>
      </c>
      <c r="R176">
        <v>0</v>
      </c>
      <c r="S176">
        <v>0</v>
      </c>
      <c r="T176" t="s">
        <v>83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1</v>
      </c>
      <c r="AJ176">
        <v>1</v>
      </c>
      <c r="AK176">
        <v>10430684900.840599</v>
      </c>
      <c r="AL176">
        <v>10</v>
      </c>
      <c r="AM176">
        <v>1</v>
      </c>
      <c r="AN176">
        <v>2014</v>
      </c>
      <c r="AO176" t="s">
        <v>62</v>
      </c>
      <c r="AP176">
        <v>5.573875737993636E-2</v>
      </c>
      <c r="AQ176">
        <v>471236517.31999469</v>
      </c>
      <c r="AR176">
        <v>76663466.189240277</v>
      </c>
    </row>
    <row r="177" spans="1:44" x14ac:dyDescent="0.25">
      <c r="A177" s="1">
        <v>273</v>
      </c>
      <c r="B177">
        <v>1377</v>
      </c>
      <c r="C177">
        <v>1377</v>
      </c>
      <c r="D177">
        <v>1377</v>
      </c>
      <c r="E177">
        <v>612</v>
      </c>
      <c r="F177" t="s">
        <v>84</v>
      </c>
      <c r="G177" s="2">
        <v>45291</v>
      </c>
      <c r="H177" t="s">
        <v>85</v>
      </c>
      <c r="I177" t="s">
        <v>65</v>
      </c>
      <c r="J177" t="s">
        <v>46</v>
      </c>
      <c r="K177">
        <v>773985196.12073898</v>
      </c>
      <c r="L177">
        <v>586665896.341048</v>
      </c>
      <c r="M177">
        <v>2661650224.8518</v>
      </c>
      <c r="N177">
        <v>0.22041434703303789</v>
      </c>
      <c r="O177">
        <v>0.1114747819510615</v>
      </c>
      <c r="P177">
        <v>5262767830.2936697</v>
      </c>
      <c r="Q177">
        <v>2023</v>
      </c>
      <c r="R177">
        <v>0</v>
      </c>
      <c r="S177">
        <v>0</v>
      </c>
      <c r="T177" t="s">
        <v>83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1</v>
      </c>
      <c r="AJ177">
        <v>1</v>
      </c>
      <c r="AK177">
        <v>6792617521.6621799</v>
      </c>
      <c r="AL177">
        <v>10</v>
      </c>
      <c r="AM177">
        <v>1</v>
      </c>
      <c r="AN177">
        <v>2023</v>
      </c>
      <c r="AO177" t="s">
        <v>48</v>
      </c>
      <c r="AP177">
        <v>3.5835499651311283E-2</v>
      </c>
      <c r="AQ177">
        <v>188593914.747421</v>
      </c>
      <c r="AR177">
        <v>585391281.37331796</v>
      </c>
    </row>
    <row r="178" spans="1:44" x14ac:dyDescent="0.25">
      <c r="A178" s="1">
        <v>274</v>
      </c>
      <c r="B178">
        <v>1378</v>
      </c>
      <c r="C178">
        <v>1378</v>
      </c>
      <c r="D178">
        <v>1378</v>
      </c>
      <c r="E178">
        <v>613</v>
      </c>
      <c r="F178" t="s">
        <v>84</v>
      </c>
      <c r="G178" s="2">
        <v>44926</v>
      </c>
      <c r="H178" t="s">
        <v>85</v>
      </c>
      <c r="I178" t="s">
        <v>65</v>
      </c>
      <c r="J178" t="s">
        <v>46</v>
      </c>
      <c r="K178">
        <v>885845731.30455303</v>
      </c>
      <c r="L178">
        <v>721050693.55980206</v>
      </c>
      <c r="M178">
        <v>2443247071.2432199</v>
      </c>
      <c r="N178">
        <v>0.29511984360750843</v>
      </c>
      <c r="O178">
        <v>0.1387030920221273</v>
      </c>
      <c r="P178">
        <v>5198519247.4640198</v>
      </c>
      <c r="Q178">
        <v>2022</v>
      </c>
      <c r="R178">
        <v>0</v>
      </c>
      <c r="S178">
        <v>0</v>
      </c>
      <c r="T178" t="s">
        <v>83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1</v>
      </c>
      <c r="AJ178">
        <v>1</v>
      </c>
      <c r="AK178">
        <v>6792617521.6621799</v>
      </c>
      <c r="AL178">
        <v>10</v>
      </c>
      <c r="AM178">
        <v>1</v>
      </c>
      <c r="AN178">
        <v>2022</v>
      </c>
      <c r="AO178" t="s">
        <v>48</v>
      </c>
      <c r="AP178">
        <v>3.5835499651311283E-2</v>
      </c>
      <c r="AQ178">
        <v>186291534.6798318</v>
      </c>
      <c r="AR178">
        <v>699554196.62472117</v>
      </c>
    </row>
    <row r="179" spans="1:44" x14ac:dyDescent="0.25">
      <c r="A179" s="1">
        <v>275</v>
      </c>
      <c r="B179">
        <v>1379</v>
      </c>
      <c r="C179">
        <v>1379</v>
      </c>
      <c r="D179">
        <v>1379</v>
      </c>
      <c r="E179">
        <v>614</v>
      </c>
      <c r="F179" t="s">
        <v>84</v>
      </c>
      <c r="G179" s="2">
        <v>44561</v>
      </c>
      <c r="H179" t="s">
        <v>85</v>
      </c>
      <c r="I179" t="s">
        <v>65</v>
      </c>
      <c r="J179" t="s">
        <v>46</v>
      </c>
      <c r="K179">
        <v>152121630.83069</v>
      </c>
      <c r="L179">
        <v>145292524.96768901</v>
      </c>
      <c r="M179">
        <v>1762323289.8601799</v>
      </c>
      <c r="N179">
        <v>8.2443741056850192E-2</v>
      </c>
      <c r="O179">
        <v>3.7450880223264607E-2</v>
      </c>
      <c r="P179">
        <v>3879549001.2924399</v>
      </c>
      <c r="Q179">
        <v>2021</v>
      </c>
      <c r="R179">
        <v>0</v>
      </c>
      <c r="S179">
        <v>0</v>
      </c>
      <c r="T179" t="s">
        <v>83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1</v>
      </c>
      <c r="AJ179">
        <v>1</v>
      </c>
      <c r="AK179">
        <v>6792617521.6621799</v>
      </c>
      <c r="AL179">
        <v>10</v>
      </c>
      <c r="AM179">
        <v>1</v>
      </c>
      <c r="AN179">
        <v>2021</v>
      </c>
      <c r="AO179" t="s">
        <v>48</v>
      </c>
      <c r="AP179">
        <v>3.5835499651311283E-2</v>
      </c>
      <c r="AQ179">
        <v>139025576.88306019</v>
      </c>
      <c r="AR179">
        <v>13096053.94762975</v>
      </c>
    </row>
    <row r="180" spans="1:44" x14ac:dyDescent="0.25">
      <c r="A180" s="1">
        <v>276</v>
      </c>
      <c r="B180">
        <v>1380</v>
      </c>
      <c r="C180">
        <v>1380</v>
      </c>
      <c r="D180">
        <v>1380</v>
      </c>
      <c r="E180">
        <v>615</v>
      </c>
      <c r="F180" t="s">
        <v>84</v>
      </c>
      <c r="G180" s="2">
        <v>44196</v>
      </c>
      <c r="H180" t="s">
        <v>85</v>
      </c>
      <c r="I180" t="s">
        <v>65</v>
      </c>
      <c r="J180" t="s">
        <v>46</v>
      </c>
      <c r="K180">
        <v>-381988476.22402298</v>
      </c>
      <c r="L180">
        <v>-209485947.16449499</v>
      </c>
      <c r="M180">
        <v>2436375688.6227498</v>
      </c>
      <c r="N180">
        <v>-8.5982612674531556E-2</v>
      </c>
      <c r="O180">
        <v>-4.8102403324915582E-2</v>
      </c>
      <c r="P180">
        <v>4354999598.45016</v>
      </c>
      <c r="Q180">
        <v>2020</v>
      </c>
      <c r="R180">
        <v>0</v>
      </c>
      <c r="S180">
        <v>0</v>
      </c>
      <c r="T180" t="s">
        <v>83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1</v>
      </c>
      <c r="AJ180">
        <v>1</v>
      </c>
      <c r="AK180">
        <v>6792617521.6621799</v>
      </c>
      <c r="AL180">
        <v>10</v>
      </c>
      <c r="AM180">
        <v>1</v>
      </c>
      <c r="AN180">
        <v>2020</v>
      </c>
      <c r="AO180" t="s">
        <v>48</v>
      </c>
      <c r="AP180">
        <v>3.5835499651311283E-2</v>
      </c>
      <c r="AQ180">
        <v>156063586.59172139</v>
      </c>
      <c r="AR180">
        <v>-538052062.8157444</v>
      </c>
    </row>
    <row r="181" spans="1:44" x14ac:dyDescent="0.25">
      <c r="A181" s="1">
        <v>390</v>
      </c>
      <c r="B181">
        <v>1381</v>
      </c>
      <c r="C181">
        <v>1381</v>
      </c>
      <c r="D181">
        <v>1381</v>
      </c>
      <c r="E181">
        <v>616</v>
      </c>
      <c r="F181" t="s">
        <v>84</v>
      </c>
      <c r="G181" s="2">
        <v>43830</v>
      </c>
      <c r="H181" t="s">
        <v>85</v>
      </c>
      <c r="I181" t="s">
        <v>65</v>
      </c>
      <c r="J181" t="s">
        <v>46</v>
      </c>
      <c r="K181">
        <v>299113238.85562199</v>
      </c>
      <c r="L181">
        <v>267898952.76114401</v>
      </c>
      <c r="M181">
        <v>2613140721.2242198</v>
      </c>
      <c r="N181">
        <v>0.1025199104607107</v>
      </c>
      <c r="O181">
        <v>5.6123475590714372E-2</v>
      </c>
      <c r="P181">
        <v>4773384932.8010597</v>
      </c>
      <c r="Q181">
        <v>2019</v>
      </c>
      <c r="R181">
        <v>0</v>
      </c>
      <c r="S181">
        <v>0</v>
      </c>
      <c r="T181" t="s">
        <v>83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1</v>
      </c>
      <c r="AJ181">
        <v>1</v>
      </c>
      <c r="AK181">
        <v>6792617521.6621799</v>
      </c>
      <c r="AL181">
        <v>10</v>
      </c>
      <c r="AM181">
        <v>1</v>
      </c>
      <c r="AN181">
        <v>2019</v>
      </c>
      <c r="AO181" t="s">
        <v>59</v>
      </c>
      <c r="AP181">
        <v>4.4682896773591482E-2</v>
      </c>
      <c r="AQ181">
        <v>213288666.21296659</v>
      </c>
      <c r="AR181">
        <v>85824572.642655373</v>
      </c>
    </row>
    <row r="182" spans="1:44" x14ac:dyDescent="0.25">
      <c r="A182" s="1">
        <v>391</v>
      </c>
      <c r="B182">
        <v>1382</v>
      </c>
      <c r="C182">
        <v>1382</v>
      </c>
      <c r="D182">
        <v>1382</v>
      </c>
      <c r="E182">
        <v>617</v>
      </c>
      <c r="F182" t="s">
        <v>84</v>
      </c>
      <c r="G182" s="2">
        <v>43465</v>
      </c>
      <c r="H182" t="s">
        <v>85</v>
      </c>
      <c r="I182" t="s">
        <v>65</v>
      </c>
      <c r="J182" t="s">
        <v>46</v>
      </c>
      <c r="K182">
        <v>610741143.104568</v>
      </c>
      <c r="L182">
        <v>459270023.81467801</v>
      </c>
      <c r="M182">
        <v>2844079649.2747302</v>
      </c>
      <c r="N182">
        <v>0.16148282764577171</v>
      </c>
      <c r="O182">
        <v>8.6722664590183351E-2</v>
      </c>
      <c r="P182">
        <v>5295847700.07938</v>
      </c>
      <c r="Q182">
        <v>2018</v>
      </c>
      <c r="R182">
        <v>0</v>
      </c>
      <c r="S182">
        <v>0</v>
      </c>
      <c r="T182" t="s">
        <v>83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1</v>
      </c>
      <c r="AJ182">
        <v>1</v>
      </c>
      <c r="AK182">
        <v>6792617521.6621799</v>
      </c>
      <c r="AL182">
        <v>10</v>
      </c>
      <c r="AM182">
        <v>1</v>
      </c>
      <c r="AN182">
        <v>2018</v>
      </c>
      <c r="AO182" t="s">
        <v>59</v>
      </c>
      <c r="AP182">
        <v>4.4682896773591482E-2</v>
      </c>
      <c r="AQ182">
        <v>236633816.11130881</v>
      </c>
      <c r="AR182">
        <v>374107326.99325931</v>
      </c>
    </row>
    <row r="183" spans="1:44" x14ac:dyDescent="0.25">
      <c r="A183" s="1">
        <v>392</v>
      </c>
      <c r="B183">
        <v>1383</v>
      </c>
      <c r="C183">
        <v>1383</v>
      </c>
      <c r="D183">
        <v>1383</v>
      </c>
      <c r="E183">
        <v>618</v>
      </c>
      <c r="F183" t="s">
        <v>84</v>
      </c>
      <c r="G183" s="2">
        <v>43100</v>
      </c>
      <c r="H183" t="s">
        <v>85</v>
      </c>
      <c r="I183" t="s">
        <v>65</v>
      </c>
      <c r="J183" t="s">
        <v>46</v>
      </c>
      <c r="K183">
        <v>874712005.20621502</v>
      </c>
      <c r="L183">
        <v>692332571.38208699</v>
      </c>
      <c r="M183">
        <v>3191275891.9710398</v>
      </c>
      <c r="N183">
        <v>0.21694538323180801</v>
      </c>
      <c r="O183">
        <v>0.1197205630931973</v>
      </c>
      <c r="P183">
        <v>5782904402.5054903</v>
      </c>
      <c r="Q183">
        <v>2017</v>
      </c>
      <c r="R183">
        <v>0</v>
      </c>
      <c r="S183">
        <v>0</v>
      </c>
      <c r="T183" t="s">
        <v>83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1</v>
      </c>
      <c r="AJ183">
        <v>1</v>
      </c>
      <c r="AK183">
        <v>6792617521.6621799</v>
      </c>
      <c r="AL183">
        <v>10</v>
      </c>
      <c r="AM183">
        <v>1</v>
      </c>
      <c r="AN183">
        <v>2017</v>
      </c>
      <c r="AO183" t="s">
        <v>59</v>
      </c>
      <c r="AP183">
        <v>4.4682896773591482E-2</v>
      </c>
      <c r="AQ183">
        <v>258396920.4687005</v>
      </c>
      <c r="AR183">
        <v>616315084.7375145</v>
      </c>
    </row>
    <row r="184" spans="1:44" x14ac:dyDescent="0.25">
      <c r="A184" s="1">
        <v>512</v>
      </c>
      <c r="B184">
        <v>1384</v>
      </c>
      <c r="C184">
        <v>1384</v>
      </c>
      <c r="D184">
        <v>1384</v>
      </c>
      <c r="E184">
        <v>619</v>
      </c>
      <c r="F184" t="s">
        <v>84</v>
      </c>
      <c r="G184" s="2">
        <v>42735</v>
      </c>
      <c r="H184" t="s">
        <v>85</v>
      </c>
      <c r="I184" t="s">
        <v>65</v>
      </c>
      <c r="J184" t="s">
        <v>46</v>
      </c>
      <c r="K184">
        <v>784528176.12694097</v>
      </c>
      <c r="L184">
        <v>660192036.33701396</v>
      </c>
      <c r="M184">
        <v>2541443151.69807</v>
      </c>
      <c r="N184">
        <v>0.25977053073011108</v>
      </c>
      <c r="O184">
        <v>0.129970939689144</v>
      </c>
      <c r="P184">
        <v>5079535763.2715302</v>
      </c>
      <c r="Q184">
        <v>2016</v>
      </c>
      <c r="R184">
        <v>0</v>
      </c>
      <c r="S184">
        <v>0</v>
      </c>
      <c r="T184" t="s">
        <v>83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1</v>
      </c>
      <c r="AJ184">
        <v>1</v>
      </c>
      <c r="AK184">
        <v>6792617521.6621799</v>
      </c>
      <c r="AL184">
        <v>10</v>
      </c>
      <c r="AM184">
        <v>1</v>
      </c>
      <c r="AN184">
        <v>2016</v>
      </c>
      <c r="AO184" t="s">
        <v>62</v>
      </c>
      <c r="AP184">
        <v>5.573875737993636E-2</v>
      </c>
      <c r="AQ184">
        <v>283127011.51170158</v>
      </c>
      <c r="AR184">
        <v>501401164.61523932</v>
      </c>
    </row>
    <row r="185" spans="1:44" x14ac:dyDescent="0.25">
      <c r="A185" s="1">
        <v>513</v>
      </c>
      <c r="B185">
        <v>1385</v>
      </c>
      <c r="C185">
        <v>1385</v>
      </c>
      <c r="D185">
        <v>1385</v>
      </c>
      <c r="E185">
        <v>620</v>
      </c>
      <c r="F185" t="s">
        <v>84</v>
      </c>
      <c r="G185" s="2">
        <v>42369</v>
      </c>
      <c r="H185" t="s">
        <v>85</v>
      </c>
      <c r="I185" t="s">
        <v>65</v>
      </c>
      <c r="J185" t="s">
        <v>46</v>
      </c>
      <c r="K185">
        <v>424506718.93762797</v>
      </c>
      <c r="L185">
        <v>316212844.529208</v>
      </c>
      <c r="M185">
        <v>3741173846.1538501</v>
      </c>
      <c r="N185">
        <v>8.4522360503052715E-2</v>
      </c>
      <c r="O185">
        <v>3.0751246674896319E-2</v>
      </c>
      <c r="P185">
        <v>10282927644.2749</v>
      </c>
      <c r="Q185">
        <v>2015</v>
      </c>
      <c r="R185">
        <v>0</v>
      </c>
      <c r="S185">
        <v>0</v>
      </c>
      <c r="T185" t="s">
        <v>83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1</v>
      </c>
      <c r="AJ185">
        <v>1</v>
      </c>
      <c r="AK185">
        <v>6792617521.6621799</v>
      </c>
      <c r="AL185">
        <v>10</v>
      </c>
      <c r="AM185">
        <v>1</v>
      </c>
      <c r="AN185">
        <v>2015</v>
      </c>
      <c r="AO185" t="s">
        <v>62</v>
      </c>
      <c r="AP185">
        <v>5.573875737993636E-2</v>
      </c>
      <c r="AQ185">
        <v>573157609.11967921</v>
      </c>
      <c r="AR185">
        <v>-148650890.18205121</v>
      </c>
    </row>
    <row r="186" spans="1:44" x14ac:dyDescent="0.25">
      <c r="A186" s="1">
        <v>514</v>
      </c>
      <c r="B186">
        <v>1386</v>
      </c>
      <c r="C186">
        <v>1386</v>
      </c>
      <c r="D186">
        <v>1386</v>
      </c>
      <c r="E186">
        <v>621</v>
      </c>
      <c r="F186" t="s">
        <v>84</v>
      </c>
      <c r="G186" s="2">
        <v>42004</v>
      </c>
      <c r="H186" t="s">
        <v>85</v>
      </c>
      <c r="I186" t="s">
        <v>65</v>
      </c>
      <c r="J186" t="s">
        <v>46</v>
      </c>
      <c r="K186">
        <v>269055631.59630603</v>
      </c>
      <c r="L186">
        <v>212825245.712401</v>
      </c>
      <c r="M186">
        <v>4452969135.8839102</v>
      </c>
      <c r="N186">
        <v>4.7794008720465873E-2</v>
      </c>
      <c r="O186">
        <v>1.78313179708839E-2</v>
      </c>
      <c r="P186">
        <v>11935474767.4802</v>
      </c>
      <c r="Q186">
        <v>2014</v>
      </c>
      <c r="R186">
        <v>0</v>
      </c>
      <c r="S186">
        <v>0</v>
      </c>
      <c r="T186" t="s">
        <v>83</v>
      </c>
      <c r="U186">
        <v>0</v>
      </c>
      <c r="V186">
        <v>0</v>
      </c>
      <c r="W186">
        <v>0</v>
      </c>
      <c r="X186">
        <v>400000000</v>
      </c>
      <c r="Y186" t="s">
        <v>90</v>
      </c>
      <c r="Z186">
        <v>0</v>
      </c>
      <c r="AA186">
        <v>1</v>
      </c>
      <c r="AB186">
        <v>0</v>
      </c>
      <c r="AC186">
        <v>0</v>
      </c>
      <c r="AD186">
        <v>1</v>
      </c>
      <c r="AE186" t="s">
        <v>83</v>
      </c>
      <c r="AF186">
        <v>0</v>
      </c>
      <c r="AG186">
        <v>0</v>
      </c>
      <c r="AH186">
        <v>0</v>
      </c>
      <c r="AI186">
        <v>1</v>
      </c>
      <c r="AJ186">
        <v>1</v>
      </c>
      <c r="AK186">
        <v>6792617521.6621799</v>
      </c>
      <c r="AL186">
        <v>10</v>
      </c>
      <c r="AM186">
        <v>1</v>
      </c>
      <c r="AN186">
        <v>2014</v>
      </c>
      <c r="AO186" t="s">
        <v>62</v>
      </c>
      <c r="AP186">
        <v>5.573875737993636E-2</v>
      </c>
      <c r="AQ186">
        <v>665268532.27893114</v>
      </c>
      <c r="AR186">
        <v>-396212900.68262511</v>
      </c>
    </row>
    <row r="187" spans="1:44" x14ac:dyDescent="0.25">
      <c r="A187" s="1">
        <v>515</v>
      </c>
      <c r="B187">
        <v>1387</v>
      </c>
      <c r="C187">
        <v>1387</v>
      </c>
      <c r="D187">
        <v>1387</v>
      </c>
      <c r="E187">
        <v>622</v>
      </c>
      <c r="F187" t="s">
        <v>84</v>
      </c>
      <c r="G187" s="2">
        <v>41639</v>
      </c>
      <c r="H187" t="s">
        <v>85</v>
      </c>
      <c r="I187" t="s">
        <v>65</v>
      </c>
      <c r="J187" t="s">
        <v>46</v>
      </c>
      <c r="K187">
        <v>1462809221.3973</v>
      </c>
      <c r="L187">
        <v>1072732223.49134</v>
      </c>
      <c r="M187">
        <v>5048482480.48734</v>
      </c>
      <c r="N187">
        <v>0.21248607430797439</v>
      </c>
      <c r="O187">
        <v>8.3332717254793021E-2</v>
      </c>
      <c r="P187">
        <v>12872881850.371201</v>
      </c>
      <c r="Q187">
        <v>2013</v>
      </c>
      <c r="R187">
        <v>0</v>
      </c>
      <c r="S187">
        <v>0</v>
      </c>
      <c r="T187" t="s">
        <v>83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1</v>
      </c>
      <c r="AJ187">
        <v>1</v>
      </c>
      <c r="AK187">
        <v>6792617521.6621799</v>
      </c>
      <c r="AL187">
        <v>10</v>
      </c>
      <c r="AM187">
        <v>1</v>
      </c>
      <c r="AN187">
        <v>2013</v>
      </c>
      <c r="AO187" t="s">
        <v>62</v>
      </c>
      <c r="AP187">
        <v>5.573875737993636E-2</v>
      </c>
      <c r="AQ187">
        <v>717518438.23842657</v>
      </c>
      <c r="AR187">
        <v>745290783.15887344</v>
      </c>
    </row>
    <row r="188" spans="1:44" x14ac:dyDescent="0.25">
      <c r="A188" s="1">
        <v>221</v>
      </c>
      <c r="B188">
        <v>983</v>
      </c>
      <c r="C188">
        <v>983</v>
      </c>
      <c r="D188">
        <v>983</v>
      </c>
      <c r="E188">
        <v>2367</v>
      </c>
      <c r="F188" t="s">
        <v>74</v>
      </c>
      <c r="G188" s="2">
        <v>45291</v>
      </c>
      <c r="H188" t="s">
        <v>75</v>
      </c>
      <c r="I188" t="s">
        <v>65</v>
      </c>
      <c r="J188" t="s">
        <v>46</v>
      </c>
      <c r="K188">
        <v>-499104000</v>
      </c>
      <c r="L188">
        <v>-411054000</v>
      </c>
      <c r="M188">
        <v>1386013000</v>
      </c>
      <c r="N188">
        <v>-0.29657297586674869</v>
      </c>
      <c r="O188">
        <v>-9.6515836849085032E-2</v>
      </c>
      <c r="P188">
        <v>4258928000</v>
      </c>
      <c r="Q188">
        <v>2023</v>
      </c>
      <c r="R188">
        <v>0</v>
      </c>
      <c r="S188">
        <v>0</v>
      </c>
      <c r="T188" t="s">
        <v>76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2</v>
      </c>
      <c r="AJ188">
        <v>1</v>
      </c>
      <c r="AK188">
        <v>3549229090.90909</v>
      </c>
      <c r="AL188">
        <v>9</v>
      </c>
      <c r="AM188">
        <v>1</v>
      </c>
      <c r="AN188">
        <v>2023</v>
      </c>
      <c r="AO188" t="s">
        <v>48</v>
      </c>
      <c r="AP188">
        <v>3.5835499651311283E-2</v>
      </c>
      <c r="AQ188">
        <v>152620812.85895979</v>
      </c>
      <c r="AR188">
        <v>-651724812.85895979</v>
      </c>
    </row>
    <row r="189" spans="1:44" x14ac:dyDescent="0.25">
      <c r="A189" s="1">
        <v>222</v>
      </c>
      <c r="B189">
        <v>984</v>
      </c>
      <c r="C189">
        <v>984</v>
      </c>
      <c r="D189">
        <v>984</v>
      </c>
      <c r="E189">
        <v>2368</v>
      </c>
      <c r="F189" t="s">
        <v>74</v>
      </c>
      <c r="G189" s="2">
        <v>44926</v>
      </c>
      <c r="H189" t="s">
        <v>75</v>
      </c>
      <c r="I189" t="s">
        <v>65</v>
      </c>
      <c r="J189" t="s">
        <v>46</v>
      </c>
      <c r="K189">
        <v>-521427000</v>
      </c>
      <c r="L189">
        <v>-388769000</v>
      </c>
      <c r="M189">
        <v>1802243000</v>
      </c>
      <c r="N189">
        <v>-0.2157139741977081</v>
      </c>
      <c r="O189">
        <v>-8.9541015035706412E-2</v>
      </c>
      <c r="P189">
        <v>4341798000</v>
      </c>
      <c r="Q189">
        <v>2022</v>
      </c>
      <c r="R189">
        <v>0</v>
      </c>
      <c r="S189">
        <v>0</v>
      </c>
      <c r="T189" t="s">
        <v>76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2</v>
      </c>
      <c r="AJ189">
        <v>1</v>
      </c>
      <c r="AK189">
        <v>3549229090.90909</v>
      </c>
      <c r="AL189">
        <v>9</v>
      </c>
      <c r="AM189">
        <v>1</v>
      </c>
      <c r="AN189">
        <v>2022</v>
      </c>
      <c r="AO189" t="s">
        <v>48</v>
      </c>
      <c r="AP189">
        <v>3.5835499651311283E-2</v>
      </c>
      <c r="AQ189">
        <v>155590500.71506399</v>
      </c>
      <c r="AR189">
        <v>-677017500.71506405</v>
      </c>
    </row>
    <row r="190" spans="1:44" x14ac:dyDescent="0.25">
      <c r="A190" s="1">
        <v>223</v>
      </c>
      <c r="B190">
        <v>985</v>
      </c>
      <c r="C190">
        <v>985</v>
      </c>
      <c r="D190">
        <v>985</v>
      </c>
      <c r="E190">
        <v>2369</v>
      </c>
      <c r="F190" t="s">
        <v>74</v>
      </c>
      <c r="G190" s="2">
        <v>44561</v>
      </c>
      <c r="H190" t="s">
        <v>75</v>
      </c>
      <c r="I190" t="s">
        <v>65</v>
      </c>
      <c r="J190" t="s">
        <v>46</v>
      </c>
      <c r="K190">
        <v>60797000</v>
      </c>
      <c r="L190">
        <v>47374000</v>
      </c>
      <c r="M190">
        <v>2172011000</v>
      </c>
      <c r="N190">
        <v>2.1811123424328879E-2</v>
      </c>
      <c r="O190">
        <v>1.184687043463865E-2</v>
      </c>
      <c r="P190">
        <v>3998862000</v>
      </c>
      <c r="Q190">
        <v>2021</v>
      </c>
      <c r="R190">
        <v>0</v>
      </c>
      <c r="S190">
        <v>0</v>
      </c>
      <c r="T190" t="s">
        <v>76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2</v>
      </c>
      <c r="AJ190">
        <v>1</v>
      </c>
      <c r="AK190">
        <v>3549229090.90909</v>
      </c>
      <c r="AL190">
        <v>9</v>
      </c>
      <c r="AM190">
        <v>1</v>
      </c>
      <c r="AN190">
        <v>2021</v>
      </c>
      <c r="AO190" t="s">
        <v>48</v>
      </c>
      <c r="AP190">
        <v>3.5835499651311283E-2</v>
      </c>
      <c r="AQ190">
        <v>143301217.80664191</v>
      </c>
      <c r="AR190">
        <v>-82504217.806641906</v>
      </c>
    </row>
    <row r="191" spans="1:44" x14ac:dyDescent="0.25">
      <c r="A191" s="1">
        <v>224</v>
      </c>
      <c r="B191">
        <v>986</v>
      </c>
      <c r="C191">
        <v>986</v>
      </c>
      <c r="D191">
        <v>986</v>
      </c>
      <c r="E191">
        <v>2370</v>
      </c>
      <c r="F191" t="s">
        <v>74</v>
      </c>
      <c r="G191" s="2">
        <v>44196</v>
      </c>
      <c r="H191" t="s">
        <v>75</v>
      </c>
      <c r="I191" t="s">
        <v>65</v>
      </c>
      <c r="J191" t="s">
        <v>46</v>
      </c>
      <c r="K191">
        <v>203722000</v>
      </c>
      <c r="L191">
        <v>163531000</v>
      </c>
      <c r="M191">
        <v>2168008000</v>
      </c>
      <c r="N191">
        <v>7.5429149707934656E-2</v>
      </c>
      <c r="O191">
        <v>4.3948368440572108E-2</v>
      </c>
      <c r="P191">
        <v>3720980000</v>
      </c>
      <c r="Q191">
        <v>2020</v>
      </c>
      <c r="R191">
        <v>0</v>
      </c>
      <c r="S191">
        <v>0</v>
      </c>
      <c r="T191" t="s">
        <v>76</v>
      </c>
      <c r="U191">
        <v>0</v>
      </c>
      <c r="V191">
        <v>0</v>
      </c>
      <c r="W191">
        <v>0</v>
      </c>
      <c r="X191">
        <v>500000000</v>
      </c>
      <c r="Y191" t="s">
        <v>77</v>
      </c>
      <c r="Z191">
        <v>0</v>
      </c>
      <c r="AA191">
        <v>1</v>
      </c>
      <c r="AB191">
        <v>0</v>
      </c>
      <c r="AC191">
        <v>0</v>
      </c>
      <c r="AD191">
        <v>1</v>
      </c>
      <c r="AE191" t="s">
        <v>77</v>
      </c>
      <c r="AF191">
        <v>0</v>
      </c>
      <c r="AG191">
        <v>0</v>
      </c>
      <c r="AH191">
        <v>0</v>
      </c>
      <c r="AI191">
        <v>2</v>
      </c>
      <c r="AJ191">
        <v>1</v>
      </c>
      <c r="AK191">
        <v>3549229090.90909</v>
      </c>
      <c r="AL191">
        <v>9</v>
      </c>
      <c r="AM191">
        <v>1</v>
      </c>
      <c r="AN191">
        <v>2020</v>
      </c>
      <c r="AO191" t="s">
        <v>48</v>
      </c>
      <c r="AP191">
        <v>3.5835499651311283E-2</v>
      </c>
      <c r="AQ191">
        <v>133343177.4925362</v>
      </c>
      <c r="AR191">
        <v>70378822.507463768</v>
      </c>
    </row>
    <row r="192" spans="1:44" x14ac:dyDescent="0.25">
      <c r="A192" s="1">
        <v>351</v>
      </c>
      <c r="B192">
        <v>987</v>
      </c>
      <c r="C192">
        <v>987</v>
      </c>
      <c r="D192">
        <v>987</v>
      </c>
      <c r="E192">
        <v>2371</v>
      </c>
      <c r="F192" t="s">
        <v>74</v>
      </c>
      <c r="G192" s="2">
        <v>43830</v>
      </c>
      <c r="H192" t="s">
        <v>75</v>
      </c>
      <c r="I192" t="s">
        <v>65</v>
      </c>
      <c r="J192" t="s">
        <v>46</v>
      </c>
      <c r="K192">
        <v>161321000</v>
      </c>
      <c r="L192">
        <v>118717000</v>
      </c>
      <c r="M192">
        <v>2059251000</v>
      </c>
      <c r="N192">
        <v>5.7650572951038988E-2</v>
      </c>
      <c r="O192">
        <v>3.3843816191961321E-2</v>
      </c>
      <c r="P192">
        <v>3507790000</v>
      </c>
      <c r="Q192">
        <v>2019</v>
      </c>
      <c r="R192">
        <v>0</v>
      </c>
      <c r="S192">
        <v>0</v>
      </c>
      <c r="T192" t="s">
        <v>76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2</v>
      </c>
      <c r="AJ192">
        <v>1</v>
      </c>
      <c r="AK192">
        <v>3549229090.90909</v>
      </c>
      <c r="AL192">
        <v>9</v>
      </c>
      <c r="AM192">
        <v>1</v>
      </c>
      <c r="AN192">
        <v>2019</v>
      </c>
      <c r="AO192" t="s">
        <v>59</v>
      </c>
      <c r="AP192">
        <v>4.4682896773591482E-2</v>
      </c>
      <c r="AQ192">
        <v>156738218.47343639</v>
      </c>
      <c r="AR192">
        <v>4582781.526563555</v>
      </c>
    </row>
    <row r="193" spans="1:44" x14ac:dyDescent="0.25">
      <c r="A193" s="1">
        <v>352</v>
      </c>
      <c r="B193">
        <v>988</v>
      </c>
      <c r="C193">
        <v>988</v>
      </c>
      <c r="D193">
        <v>988</v>
      </c>
      <c r="E193">
        <v>2372</v>
      </c>
      <c r="F193" t="s">
        <v>74</v>
      </c>
      <c r="G193" s="2">
        <v>43465</v>
      </c>
      <c r="H193" t="s">
        <v>75</v>
      </c>
      <c r="I193" t="s">
        <v>65</v>
      </c>
      <c r="J193" t="s">
        <v>46</v>
      </c>
      <c r="K193">
        <v>149562000</v>
      </c>
      <c r="L193">
        <v>111223000</v>
      </c>
      <c r="M193">
        <v>2069806000</v>
      </c>
      <c r="N193">
        <v>5.373595399762103E-2</v>
      </c>
      <c r="O193">
        <v>3.2119976804469069E-2</v>
      </c>
      <c r="P193">
        <v>3462736000</v>
      </c>
      <c r="Q193">
        <v>2018</v>
      </c>
      <c r="R193">
        <v>0</v>
      </c>
      <c r="S193">
        <v>0</v>
      </c>
      <c r="T193" t="s">
        <v>76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2</v>
      </c>
      <c r="AJ193">
        <v>1</v>
      </c>
      <c r="AK193">
        <v>3549229090.90909</v>
      </c>
      <c r="AL193">
        <v>9</v>
      </c>
      <c r="AM193">
        <v>1</v>
      </c>
      <c r="AN193">
        <v>2018</v>
      </c>
      <c r="AO193" t="s">
        <v>59</v>
      </c>
      <c r="AP193">
        <v>4.4682896773591482E-2</v>
      </c>
      <c r="AQ193">
        <v>154725075.24219909</v>
      </c>
      <c r="AR193">
        <v>-5163075.2421990633</v>
      </c>
    </row>
    <row r="194" spans="1:44" x14ac:dyDescent="0.25">
      <c r="A194" s="1">
        <v>353</v>
      </c>
      <c r="B194">
        <v>989</v>
      </c>
      <c r="C194">
        <v>989</v>
      </c>
      <c r="D194">
        <v>989</v>
      </c>
      <c r="E194">
        <v>2373</v>
      </c>
      <c r="F194" t="s">
        <v>74</v>
      </c>
      <c r="G194" s="2">
        <v>43100</v>
      </c>
      <c r="H194" t="s">
        <v>75</v>
      </c>
      <c r="I194" t="s">
        <v>65</v>
      </c>
      <c r="J194" t="s">
        <v>46</v>
      </c>
      <c r="K194">
        <v>143494000</v>
      </c>
      <c r="L194">
        <v>109010000</v>
      </c>
      <c r="M194">
        <v>1991493000</v>
      </c>
      <c r="N194">
        <v>5.4737827348627387E-2</v>
      </c>
      <c r="O194">
        <v>3.2402919800023959E-2</v>
      </c>
      <c r="P194">
        <v>3364203000</v>
      </c>
      <c r="Q194">
        <v>2017</v>
      </c>
      <c r="R194">
        <v>0</v>
      </c>
      <c r="S194">
        <v>0</v>
      </c>
      <c r="T194" t="s">
        <v>76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2</v>
      </c>
      <c r="AJ194">
        <v>1</v>
      </c>
      <c r="AK194">
        <v>3549229090.90909</v>
      </c>
      <c r="AL194">
        <v>9</v>
      </c>
      <c r="AM194">
        <v>1</v>
      </c>
      <c r="AN194">
        <v>2017</v>
      </c>
      <c r="AO194" t="s">
        <v>59</v>
      </c>
      <c r="AP194">
        <v>4.4682896773591482E-2</v>
      </c>
      <c r="AQ194">
        <v>150322335.37440681</v>
      </c>
      <c r="AR194">
        <v>-6828335.374406755</v>
      </c>
    </row>
    <row r="195" spans="1:44" x14ac:dyDescent="0.25">
      <c r="A195" s="1">
        <v>461</v>
      </c>
      <c r="B195">
        <v>990</v>
      </c>
      <c r="C195">
        <v>990</v>
      </c>
      <c r="D195">
        <v>990</v>
      </c>
      <c r="E195">
        <v>2374</v>
      </c>
      <c r="F195" t="s">
        <v>74</v>
      </c>
      <c r="G195" s="2">
        <v>42735</v>
      </c>
      <c r="H195" t="s">
        <v>75</v>
      </c>
      <c r="I195" t="s">
        <v>65</v>
      </c>
      <c r="J195" t="s">
        <v>46</v>
      </c>
      <c r="K195">
        <v>337998000</v>
      </c>
      <c r="L195">
        <v>258576000</v>
      </c>
      <c r="M195">
        <v>1922525000</v>
      </c>
      <c r="N195">
        <v>0.1344981209607157</v>
      </c>
      <c r="O195">
        <v>7.8047060769471766E-2</v>
      </c>
      <c r="P195">
        <v>3313078000</v>
      </c>
      <c r="Q195">
        <v>2016</v>
      </c>
      <c r="R195">
        <v>0</v>
      </c>
      <c r="S195">
        <v>0</v>
      </c>
      <c r="T195" t="s">
        <v>76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2</v>
      </c>
      <c r="AJ195">
        <v>1</v>
      </c>
      <c r="AK195">
        <v>3549229090.90909</v>
      </c>
      <c r="AL195">
        <v>9</v>
      </c>
      <c r="AM195">
        <v>1</v>
      </c>
      <c r="AN195">
        <v>2016</v>
      </c>
      <c r="AO195" t="s">
        <v>62</v>
      </c>
      <c r="AP195">
        <v>5.573875737993636E-2</v>
      </c>
      <c r="AQ195">
        <v>184666850.82280481</v>
      </c>
      <c r="AR195">
        <v>153331149.17719519</v>
      </c>
    </row>
    <row r="196" spans="1:44" x14ac:dyDescent="0.25">
      <c r="A196" s="1">
        <v>462</v>
      </c>
      <c r="B196">
        <v>991</v>
      </c>
      <c r="C196">
        <v>991</v>
      </c>
      <c r="D196">
        <v>991</v>
      </c>
      <c r="E196">
        <v>2375</v>
      </c>
      <c r="F196" t="s">
        <v>74</v>
      </c>
      <c r="G196" s="2">
        <v>42369</v>
      </c>
      <c r="H196" t="s">
        <v>75</v>
      </c>
      <c r="I196" t="s">
        <v>65</v>
      </c>
      <c r="J196" t="s">
        <v>46</v>
      </c>
      <c r="K196">
        <v>134077000</v>
      </c>
      <c r="L196">
        <v>100538000</v>
      </c>
      <c r="M196">
        <v>1729046000</v>
      </c>
      <c r="N196">
        <v>5.8146515477321019E-2</v>
      </c>
      <c r="O196">
        <v>3.232116834314229E-2</v>
      </c>
      <c r="P196">
        <v>3110593000</v>
      </c>
      <c r="Q196">
        <v>2015</v>
      </c>
      <c r="R196">
        <v>0</v>
      </c>
      <c r="S196">
        <v>0</v>
      </c>
      <c r="T196" t="s">
        <v>76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2</v>
      </c>
      <c r="AJ196">
        <v>1</v>
      </c>
      <c r="AK196">
        <v>3549229090.90909</v>
      </c>
      <c r="AL196">
        <v>9</v>
      </c>
      <c r="AM196">
        <v>1</v>
      </c>
      <c r="AN196">
        <v>2015</v>
      </c>
      <c r="AO196" t="s">
        <v>62</v>
      </c>
      <c r="AP196">
        <v>5.573875737993636E-2</v>
      </c>
      <c r="AQ196">
        <v>173380588.53472841</v>
      </c>
      <c r="AR196">
        <v>-39303588.534728378</v>
      </c>
    </row>
    <row r="197" spans="1:44" x14ac:dyDescent="0.25">
      <c r="A197" s="1">
        <v>463</v>
      </c>
      <c r="B197">
        <v>992</v>
      </c>
      <c r="C197">
        <v>992</v>
      </c>
      <c r="D197">
        <v>992</v>
      </c>
      <c r="E197">
        <v>2376</v>
      </c>
      <c r="F197" t="s">
        <v>74</v>
      </c>
      <c r="G197" s="2">
        <v>42004</v>
      </c>
      <c r="H197" t="s">
        <v>75</v>
      </c>
      <c r="I197" t="s">
        <v>65</v>
      </c>
      <c r="J197" t="s">
        <v>46</v>
      </c>
      <c r="K197">
        <v>121885000</v>
      </c>
      <c r="L197">
        <v>94834000</v>
      </c>
      <c r="M197">
        <v>1681862000</v>
      </c>
      <c r="N197">
        <v>5.6386314691692897E-2</v>
      </c>
      <c r="O197">
        <v>3.1976386419493748E-2</v>
      </c>
      <c r="P197">
        <v>2965751000</v>
      </c>
      <c r="Q197">
        <v>2014</v>
      </c>
      <c r="R197">
        <v>0</v>
      </c>
      <c r="S197">
        <v>0</v>
      </c>
      <c r="T197" t="s">
        <v>76</v>
      </c>
      <c r="U197">
        <v>0</v>
      </c>
      <c r="V197">
        <v>0</v>
      </c>
      <c r="W197">
        <v>0</v>
      </c>
      <c r="X197">
        <v>350000000</v>
      </c>
      <c r="Y197" t="s">
        <v>77</v>
      </c>
      <c r="Z197">
        <v>0</v>
      </c>
      <c r="AA197">
        <v>1</v>
      </c>
      <c r="AB197">
        <v>0</v>
      </c>
      <c r="AC197">
        <v>0</v>
      </c>
      <c r="AD197">
        <v>1</v>
      </c>
      <c r="AE197" t="s">
        <v>77</v>
      </c>
      <c r="AF197">
        <v>0</v>
      </c>
      <c r="AG197">
        <v>0</v>
      </c>
      <c r="AH197">
        <v>0</v>
      </c>
      <c r="AI197">
        <v>2</v>
      </c>
      <c r="AJ197">
        <v>1</v>
      </c>
      <c r="AK197">
        <v>3549229090.90909</v>
      </c>
      <c r="AL197">
        <v>9</v>
      </c>
      <c r="AM197">
        <v>1</v>
      </c>
      <c r="AN197">
        <v>2014</v>
      </c>
      <c r="AO197" t="s">
        <v>62</v>
      </c>
      <c r="AP197">
        <v>5.573875737993636E-2</v>
      </c>
      <c r="AQ197">
        <v>165307275.43830359</v>
      </c>
      <c r="AR197">
        <v>-43422275.438303649</v>
      </c>
    </row>
    <row r="198" spans="1:44" x14ac:dyDescent="0.25">
      <c r="A198" s="1">
        <v>464</v>
      </c>
      <c r="B198">
        <v>993</v>
      </c>
      <c r="C198">
        <v>993</v>
      </c>
      <c r="D198">
        <v>993</v>
      </c>
      <c r="E198">
        <v>2377</v>
      </c>
      <c r="F198" t="s">
        <v>74</v>
      </c>
      <c r="G198" s="2">
        <v>41639</v>
      </c>
      <c r="H198" t="s">
        <v>75</v>
      </c>
      <c r="I198" t="s">
        <v>65</v>
      </c>
      <c r="J198" t="s">
        <v>46</v>
      </c>
      <c r="K198">
        <v>55037000</v>
      </c>
      <c r="L198">
        <v>38474000</v>
      </c>
      <c r="M198">
        <v>1683358000</v>
      </c>
      <c r="N198">
        <v>2.2855506671783422E-2</v>
      </c>
      <c r="O198">
        <v>1.283835663429103E-2</v>
      </c>
      <c r="P198">
        <v>2996801000</v>
      </c>
      <c r="Q198">
        <v>2013</v>
      </c>
      <c r="R198">
        <v>0</v>
      </c>
      <c r="S198">
        <v>0</v>
      </c>
      <c r="T198" t="s">
        <v>76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2</v>
      </c>
      <c r="AJ198">
        <v>1</v>
      </c>
      <c r="AK198">
        <v>3549229090.90909</v>
      </c>
      <c r="AL198">
        <v>9</v>
      </c>
      <c r="AM198">
        <v>1</v>
      </c>
      <c r="AN198">
        <v>2013</v>
      </c>
      <c r="AO198" t="s">
        <v>62</v>
      </c>
      <c r="AP198">
        <v>5.573875737993636E-2</v>
      </c>
      <c r="AQ198">
        <v>167037963.8549507</v>
      </c>
      <c r="AR198">
        <v>-112000963.8549507</v>
      </c>
    </row>
    <row r="199" spans="1:44" x14ac:dyDescent="0.25">
      <c r="A199" s="1">
        <v>2337</v>
      </c>
      <c r="B199">
        <v>1410</v>
      </c>
      <c r="C199">
        <v>1410</v>
      </c>
      <c r="D199">
        <v>1410</v>
      </c>
      <c r="E199">
        <v>646</v>
      </c>
      <c r="F199" t="s">
        <v>149</v>
      </c>
      <c r="G199" s="2">
        <v>45291</v>
      </c>
      <c r="H199" t="s">
        <v>150</v>
      </c>
      <c r="I199" t="s">
        <v>151</v>
      </c>
      <c r="J199" t="s">
        <v>46</v>
      </c>
      <c r="K199">
        <v>-117038992.482228</v>
      </c>
      <c r="L199">
        <v>-104828402.87083501</v>
      </c>
      <c r="M199">
        <v>70255592.904676497</v>
      </c>
      <c r="N199">
        <v>-1.4921004654115899</v>
      </c>
      <c r="O199">
        <v>-0.10712755536909151</v>
      </c>
      <c r="P199">
        <v>978538178.24615598</v>
      </c>
      <c r="Q199">
        <v>2023</v>
      </c>
      <c r="R199">
        <v>0</v>
      </c>
      <c r="S199">
        <v>0</v>
      </c>
      <c r="T199" t="s">
        <v>152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2</v>
      </c>
      <c r="AJ199">
        <v>1</v>
      </c>
      <c r="AK199">
        <v>921513006.471012</v>
      </c>
      <c r="AL199">
        <v>8</v>
      </c>
      <c r="AM199">
        <v>1</v>
      </c>
      <c r="AN199">
        <v>2023</v>
      </c>
      <c r="AO199" t="s">
        <v>48</v>
      </c>
      <c r="AP199">
        <v>-1.5354960049200639E-2</v>
      </c>
      <c r="AQ199">
        <v>-15025414.633587301</v>
      </c>
      <c r="AR199">
        <v>-102013577.8486407</v>
      </c>
    </row>
    <row r="200" spans="1:44" x14ac:dyDescent="0.25">
      <c r="A200" s="1">
        <v>2338</v>
      </c>
      <c r="B200">
        <v>1411</v>
      </c>
      <c r="C200">
        <v>1411</v>
      </c>
      <c r="D200">
        <v>1411</v>
      </c>
      <c r="E200">
        <v>647</v>
      </c>
      <c r="F200" t="s">
        <v>149</v>
      </c>
      <c r="G200" s="2">
        <v>44926</v>
      </c>
      <c r="H200" t="s">
        <v>150</v>
      </c>
      <c r="I200" t="s">
        <v>151</v>
      </c>
      <c r="J200" t="s">
        <v>46</v>
      </c>
      <c r="K200">
        <v>-101870147.44043399</v>
      </c>
      <c r="L200">
        <v>-69137576.079264</v>
      </c>
      <c r="M200">
        <v>178454876.15003499</v>
      </c>
      <c r="N200">
        <v>-0.38742329473326892</v>
      </c>
      <c r="O200">
        <v>-6.6750416779305169E-2</v>
      </c>
      <c r="P200">
        <v>1035762462.84501</v>
      </c>
      <c r="Q200">
        <v>2022</v>
      </c>
      <c r="R200">
        <v>0</v>
      </c>
      <c r="S200">
        <v>0</v>
      </c>
      <c r="T200" t="s">
        <v>152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2</v>
      </c>
      <c r="AJ200">
        <v>1</v>
      </c>
      <c r="AK200">
        <v>921513006.471012</v>
      </c>
      <c r="AL200">
        <v>8</v>
      </c>
      <c r="AM200">
        <v>1</v>
      </c>
      <c r="AN200">
        <v>2022</v>
      </c>
      <c r="AO200" t="s">
        <v>48</v>
      </c>
      <c r="AP200">
        <v>-1.5354960049200639E-2</v>
      </c>
      <c r="AQ200">
        <v>-15904091.237446791</v>
      </c>
      <c r="AR200">
        <v>-85966056.202987194</v>
      </c>
    </row>
    <row r="201" spans="1:44" x14ac:dyDescent="0.25">
      <c r="A201" s="1">
        <v>2339</v>
      </c>
      <c r="B201">
        <v>1412</v>
      </c>
      <c r="C201">
        <v>1412</v>
      </c>
      <c r="D201">
        <v>1412</v>
      </c>
      <c r="E201">
        <v>648</v>
      </c>
      <c r="F201" t="s">
        <v>149</v>
      </c>
      <c r="G201" s="2">
        <v>44561</v>
      </c>
      <c r="H201" t="s">
        <v>150</v>
      </c>
      <c r="I201" t="s">
        <v>151</v>
      </c>
      <c r="J201" t="s">
        <v>46</v>
      </c>
      <c r="K201">
        <v>-89396649.042415693</v>
      </c>
      <c r="L201">
        <v>-91698696.9803783</v>
      </c>
      <c r="M201">
        <v>240262971.448713</v>
      </c>
      <c r="N201">
        <v>-0.38165971405191118</v>
      </c>
      <c r="O201">
        <v>-0.1031082385143197</v>
      </c>
      <c r="P201">
        <v>889344035.95347202</v>
      </c>
      <c r="Q201">
        <v>2021</v>
      </c>
      <c r="R201">
        <v>0</v>
      </c>
      <c r="S201">
        <v>0</v>
      </c>
      <c r="T201" t="s">
        <v>152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2</v>
      </c>
      <c r="AJ201">
        <v>1</v>
      </c>
      <c r="AK201">
        <v>921513006.471012</v>
      </c>
      <c r="AL201">
        <v>8</v>
      </c>
      <c r="AM201">
        <v>1</v>
      </c>
      <c r="AN201">
        <v>2021</v>
      </c>
      <c r="AO201" t="s">
        <v>48</v>
      </c>
      <c r="AP201">
        <v>-1.5354960049200639E-2</v>
      </c>
      <c r="AQ201">
        <v>-13655842.14206042</v>
      </c>
      <c r="AR201">
        <v>-75740806.900355265</v>
      </c>
    </row>
    <row r="202" spans="1:44" x14ac:dyDescent="0.25">
      <c r="A202" s="1">
        <v>2340</v>
      </c>
      <c r="B202">
        <v>1413</v>
      </c>
      <c r="C202">
        <v>1413</v>
      </c>
      <c r="D202">
        <v>1413</v>
      </c>
      <c r="E202">
        <v>649</v>
      </c>
      <c r="F202" t="s">
        <v>149</v>
      </c>
      <c r="G202" s="2">
        <v>44196</v>
      </c>
      <c r="H202" t="s">
        <v>150</v>
      </c>
      <c r="I202" t="s">
        <v>151</v>
      </c>
      <c r="J202" t="s">
        <v>46</v>
      </c>
      <c r="K202">
        <v>-200748967.94646001</v>
      </c>
      <c r="L202">
        <v>-195689949.98238799</v>
      </c>
      <c r="M202">
        <v>21978655.864741102</v>
      </c>
      <c r="N202">
        <v>-8.9036359269049008</v>
      </c>
      <c r="O202">
        <v>-0.25088495142098061</v>
      </c>
      <c r="P202">
        <v>779998755.89996505</v>
      </c>
      <c r="Q202">
        <v>2020</v>
      </c>
      <c r="R202">
        <v>0</v>
      </c>
      <c r="S202">
        <v>0</v>
      </c>
      <c r="T202" t="s">
        <v>152</v>
      </c>
      <c r="U202">
        <v>0</v>
      </c>
      <c r="V202">
        <v>0</v>
      </c>
      <c r="W202">
        <v>0</v>
      </c>
      <c r="X202">
        <v>210505263</v>
      </c>
      <c r="Y202" t="s">
        <v>153</v>
      </c>
      <c r="Z202">
        <v>0</v>
      </c>
      <c r="AA202">
        <v>1</v>
      </c>
      <c r="AB202">
        <v>0</v>
      </c>
      <c r="AC202">
        <v>0</v>
      </c>
      <c r="AD202">
        <v>1</v>
      </c>
      <c r="AE202" t="s">
        <v>152</v>
      </c>
      <c r="AF202">
        <v>0</v>
      </c>
      <c r="AG202">
        <v>0</v>
      </c>
      <c r="AH202">
        <v>0</v>
      </c>
      <c r="AI202">
        <v>2</v>
      </c>
      <c r="AJ202">
        <v>1</v>
      </c>
      <c r="AK202">
        <v>921513006.471012</v>
      </c>
      <c r="AL202">
        <v>8</v>
      </c>
      <c r="AM202">
        <v>1</v>
      </c>
      <c r="AN202">
        <v>2020</v>
      </c>
      <c r="AO202" t="s">
        <v>48</v>
      </c>
      <c r="AP202">
        <v>-1.5354960049200639E-2</v>
      </c>
      <c r="AQ202">
        <v>-11976849.73527017</v>
      </c>
      <c r="AR202">
        <v>-188772118.21118981</v>
      </c>
    </row>
    <row r="203" spans="1:44" x14ac:dyDescent="0.25">
      <c r="A203" s="1">
        <v>2349</v>
      </c>
      <c r="B203">
        <v>1414</v>
      </c>
      <c r="C203">
        <v>1414</v>
      </c>
      <c r="D203">
        <v>1414</v>
      </c>
      <c r="E203">
        <v>650</v>
      </c>
      <c r="F203" t="s">
        <v>149</v>
      </c>
      <c r="G203" s="2">
        <v>43830</v>
      </c>
      <c r="H203" t="s">
        <v>150</v>
      </c>
      <c r="I203" t="s">
        <v>151</v>
      </c>
      <c r="J203" t="s">
        <v>46</v>
      </c>
      <c r="K203">
        <v>-38580268.795741796</v>
      </c>
      <c r="L203">
        <v>-37135760.479041897</v>
      </c>
      <c r="M203">
        <v>191143796.407186</v>
      </c>
      <c r="N203">
        <v>-0.19428179819099681</v>
      </c>
      <c r="O203">
        <v>-4.1520961309073422E-2</v>
      </c>
      <c r="P203">
        <v>894385854.95675302</v>
      </c>
      <c r="Q203">
        <v>2019</v>
      </c>
      <c r="R203">
        <v>0</v>
      </c>
      <c r="S203">
        <v>0</v>
      </c>
      <c r="T203" t="s">
        <v>152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2</v>
      </c>
      <c r="AJ203">
        <v>1</v>
      </c>
      <c r="AK203">
        <v>921513006.471012</v>
      </c>
      <c r="AL203">
        <v>8</v>
      </c>
      <c r="AM203">
        <v>1</v>
      </c>
      <c r="AN203">
        <v>2019</v>
      </c>
      <c r="AO203" t="s">
        <v>59</v>
      </c>
      <c r="AP203">
        <v>-2.3471768506872281E-2</v>
      </c>
      <c r="AQ203">
        <v>-20992817.743365951</v>
      </c>
      <c r="AR203">
        <v>-17587451.052375838</v>
      </c>
    </row>
    <row r="204" spans="1:44" x14ac:dyDescent="0.25">
      <c r="A204" s="1">
        <v>2350</v>
      </c>
      <c r="B204">
        <v>1415</v>
      </c>
      <c r="C204">
        <v>1415</v>
      </c>
      <c r="D204">
        <v>1415</v>
      </c>
      <c r="E204">
        <v>651</v>
      </c>
      <c r="F204" t="s">
        <v>149</v>
      </c>
      <c r="G204" s="2">
        <v>43465</v>
      </c>
      <c r="H204" t="s">
        <v>150</v>
      </c>
      <c r="I204" t="s">
        <v>151</v>
      </c>
      <c r="J204" t="s">
        <v>46</v>
      </c>
      <c r="K204">
        <v>-37179346.1788266</v>
      </c>
      <c r="L204">
        <v>-33974557.263476901</v>
      </c>
      <c r="M204">
        <v>234849202.56909901</v>
      </c>
      <c r="N204">
        <v>-0.14466541462273291</v>
      </c>
      <c r="O204">
        <v>-3.6741798095536862E-2</v>
      </c>
      <c r="P204">
        <v>924684120.66103804</v>
      </c>
      <c r="Q204">
        <v>2018</v>
      </c>
      <c r="R204">
        <v>0</v>
      </c>
      <c r="S204">
        <v>0</v>
      </c>
      <c r="T204" t="s">
        <v>152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2</v>
      </c>
      <c r="AJ204">
        <v>1</v>
      </c>
      <c r="AK204">
        <v>921513006.471012</v>
      </c>
      <c r="AL204">
        <v>8</v>
      </c>
      <c r="AM204">
        <v>1</v>
      </c>
      <c r="AN204">
        <v>2018</v>
      </c>
      <c r="AO204" t="s">
        <v>59</v>
      </c>
      <c r="AP204">
        <v>-2.3471768506872281E-2</v>
      </c>
      <c r="AQ204">
        <v>-21703971.622136641</v>
      </c>
      <c r="AR204">
        <v>-15475374.556689961</v>
      </c>
    </row>
    <row r="205" spans="1:44" x14ac:dyDescent="0.25">
      <c r="A205" s="1">
        <v>2351</v>
      </c>
      <c r="B205">
        <v>1416</v>
      </c>
      <c r="C205">
        <v>1416</v>
      </c>
      <c r="D205">
        <v>1416</v>
      </c>
      <c r="E205">
        <v>652</v>
      </c>
      <c r="F205" t="s">
        <v>149</v>
      </c>
      <c r="G205" s="2">
        <v>43100</v>
      </c>
      <c r="H205" t="s">
        <v>150</v>
      </c>
      <c r="I205" t="s">
        <v>151</v>
      </c>
      <c r="J205" t="s">
        <v>46</v>
      </c>
      <c r="K205">
        <v>859537.94842593395</v>
      </c>
      <c r="L205">
        <v>6666942.1622061301</v>
      </c>
      <c r="M205">
        <v>105170065.891158</v>
      </c>
      <c r="N205">
        <v>6.3392012791033556E-2</v>
      </c>
      <c r="O205">
        <v>7.8474538839934434E-3</v>
      </c>
      <c r="P205">
        <v>849567549.01163304</v>
      </c>
      <c r="Q205">
        <v>2017</v>
      </c>
      <c r="R205">
        <v>0</v>
      </c>
      <c r="S205">
        <v>0</v>
      </c>
      <c r="T205" t="s">
        <v>152</v>
      </c>
      <c r="U205">
        <v>0</v>
      </c>
      <c r="V205">
        <v>0</v>
      </c>
      <c r="W205">
        <v>0</v>
      </c>
      <c r="X205">
        <v>300000000</v>
      </c>
      <c r="Y205" t="s">
        <v>153</v>
      </c>
      <c r="Z205">
        <v>0</v>
      </c>
      <c r="AA205">
        <v>1</v>
      </c>
      <c r="AB205">
        <v>0</v>
      </c>
      <c r="AC205">
        <v>0</v>
      </c>
      <c r="AD205">
        <v>1</v>
      </c>
      <c r="AE205" t="s">
        <v>152</v>
      </c>
      <c r="AF205">
        <v>0</v>
      </c>
      <c r="AG205">
        <v>0</v>
      </c>
      <c r="AH205">
        <v>0</v>
      </c>
      <c r="AI205">
        <v>2</v>
      </c>
      <c r="AJ205">
        <v>1</v>
      </c>
      <c r="AK205">
        <v>921513006.471012</v>
      </c>
      <c r="AL205">
        <v>8</v>
      </c>
      <c r="AM205">
        <v>1</v>
      </c>
      <c r="AN205">
        <v>2017</v>
      </c>
      <c r="AO205" t="s">
        <v>59</v>
      </c>
      <c r="AP205">
        <v>-2.3471768506872281E-2</v>
      </c>
      <c r="AQ205">
        <v>-19940852.841351919</v>
      </c>
      <c r="AR205">
        <v>20800390.78977786</v>
      </c>
    </row>
    <row r="206" spans="1:44" x14ac:dyDescent="0.25">
      <c r="A206" s="1">
        <v>2358</v>
      </c>
      <c r="B206">
        <v>1417</v>
      </c>
      <c r="C206">
        <v>1417</v>
      </c>
      <c r="D206">
        <v>1417</v>
      </c>
      <c r="E206">
        <v>653</v>
      </c>
      <c r="F206" t="s">
        <v>149</v>
      </c>
      <c r="G206" s="2">
        <v>42735</v>
      </c>
      <c r="H206" t="s">
        <v>150</v>
      </c>
      <c r="I206" t="s">
        <v>151</v>
      </c>
      <c r="J206" t="s">
        <v>46</v>
      </c>
      <c r="K206">
        <v>-56133667.020275198</v>
      </c>
      <c r="L206">
        <v>-54632332.770547897</v>
      </c>
      <c r="M206">
        <v>114491452.13584501</v>
      </c>
      <c r="N206">
        <v>-0.47717390033385382</v>
      </c>
      <c r="O206">
        <v>-6.3641325561359111E-2</v>
      </c>
      <c r="P206">
        <v>858441151.07053697</v>
      </c>
      <c r="Q206">
        <v>2016</v>
      </c>
      <c r="R206">
        <v>0</v>
      </c>
      <c r="S206">
        <v>0</v>
      </c>
      <c r="T206" t="s">
        <v>152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2</v>
      </c>
      <c r="AJ206">
        <v>1</v>
      </c>
      <c r="AK206">
        <v>921513006.471012</v>
      </c>
      <c r="AL206">
        <v>8</v>
      </c>
      <c r="AM206">
        <v>1</v>
      </c>
      <c r="AN206">
        <v>2016</v>
      </c>
      <c r="AO206" t="s">
        <v>62</v>
      </c>
      <c r="AP206">
        <v>-3.9786520189691466E-3</v>
      </c>
      <c r="AQ206">
        <v>-3415438.6188729899</v>
      </c>
      <c r="AR206">
        <v>-52718228.401402213</v>
      </c>
    </row>
    <row r="207" spans="1:44" x14ac:dyDescent="0.25">
      <c r="A207" s="1">
        <v>2359</v>
      </c>
      <c r="B207">
        <v>1418</v>
      </c>
      <c r="C207">
        <v>1418</v>
      </c>
      <c r="D207">
        <v>1418</v>
      </c>
      <c r="E207">
        <v>654</v>
      </c>
      <c r="F207" t="s">
        <v>149</v>
      </c>
      <c r="G207" s="2">
        <v>42369</v>
      </c>
      <c r="H207" t="s">
        <v>150</v>
      </c>
      <c r="I207" t="s">
        <v>151</v>
      </c>
      <c r="J207" t="s">
        <v>46</v>
      </c>
      <c r="K207">
        <v>17237424.595606402</v>
      </c>
      <c r="L207">
        <v>14026050.716959801</v>
      </c>
      <c r="M207">
        <v>176807957.90068501</v>
      </c>
      <c r="N207">
        <v>7.9329295375032777E-2</v>
      </c>
      <c r="O207">
        <v>1.56688117763236E-2</v>
      </c>
      <c r="P207">
        <v>895157266.36999404</v>
      </c>
      <c r="Q207">
        <v>2015</v>
      </c>
      <c r="R207">
        <v>0</v>
      </c>
      <c r="S207">
        <v>0</v>
      </c>
      <c r="T207" t="s">
        <v>152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2</v>
      </c>
      <c r="AJ207">
        <v>1</v>
      </c>
      <c r="AK207">
        <v>921513006.471012</v>
      </c>
      <c r="AL207">
        <v>8</v>
      </c>
      <c r="AM207">
        <v>1</v>
      </c>
      <c r="AN207">
        <v>2015</v>
      </c>
      <c r="AO207" t="s">
        <v>62</v>
      </c>
      <c r="AP207">
        <v>-3.9786520189691466E-3</v>
      </c>
      <c r="AQ207">
        <v>-3561519.2651378792</v>
      </c>
      <c r="AR207">
        <v>20798943.860744279</v>
      </c>
    </row>
    <row r="208" spans="1:44" x14ac:dyDescent="0.25">
      <c r="A208" s="1">
        <v>2360</v>
      </c>
      <c r="B208">
        <v>1419</v>
      </c>
      <c r="C208">
        <v>1419</v>
      </c>
      <c r="D208">
        <v>1419</v>
      </c>
      <c r="E208">
        <v>655</v>
      </c>
      <c r="F208" t="s">
        <v>149</v>
      </c>
      <c r="G208" s="2">
        <v>42004</v>
      </c>
      <c r="H208" t="s">
        <v>150</v>
      </c>
      <c r="I208" t="s">
        <v>151</v>
      </c>
      <c r="J208" t="s">
        <v>46</v>
      </c>
      <c r="K208">
        <v>7644704.81530343</v>
      </c>
      <c r="L208">
        <v>8157064.6437994698</v>
      </c>
      <c r="M208">
        <v>234759579.485488</v>
      </c>
      <c r="N208">
        <v>3.4746461301715319E-2</v>
      </c>
      <c r="O208">
        <v>8.3679991611233275E-3</v>
      </c>
      <c r="P208">
        <v>974792717.67809999</v>
      </c>
      <c r="Q208">
        <v>2014</v>
      </c>
      <c r="R208">
        <v>0</v>
      </c>
      <c r="S208">
        <v>0</v>
      </c>
      <c r="T208" t="s">
        <v>152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2</v>
      </c>
      <c r="AJ208">
        <v>1</v>
      </c>
      <c r="AK208">
        <v>921513006.471012</v>
      </c>
      <c r="AL208">
        <v>8</v>
      </c>
      <c r="AM208">
        <v>1</v>
      </c>
      <c r="AN208">
        <v>2014</v>
      </c>
      <c r="AO208" t="s">
        <v>62</v>
      </c>
      <c r="AP208">
        <v>-3.9786520189691466E-3</v>
      </c>
      <c r="AQ208">
        <v>-3878361.0142663941</v>
      </c>
      <c r="AR208">
        <v>11523065.82956982</v>
      </c>
    </row>
    <row r="209" spans="1:44" x14ac:dyDescent="0.25">
      <c r="A209" s="1">
        <v>2361</v>
      </c>
      <c r="B209">
        <v>1420</v>
      </c>
      <c r="C209">
        <v>1420</v>
      </c>
      <c r="D209">
        <v>1420</v>
      </c>
      <c r="E209">
        <v>656</v>
      </c>
      <c r="F209" t="s">
        <v>149</v>
      </c>
      <c r="G209" s="2">
        <v>41639</v>
      </c>
      <c r="H209" t="s">
        <v>150</v>
      </c>
      <c r="I209" t="s">
        <v>151</v>
      </c>
      <c r="J209" t="s">
        <v>46</v>
      </c>
      <c r="K209">
        <v>18154867.694650698</v>
      </c>
      <c r="L209">
        <v>25015853.797829799</v>
      </c>
      <c r="M209">
        <v>232861492.48048699</v>
      </c>
      <c r="N209">
        <v>0.1074280402970708</v>
      </c>
      <c r="O209">
        <v>2.36899065480356E-2</v>
      </c>
      <c r="P209">
        <v>1055970978.48848</v>
      </c>
      <c r="Q209">
        <v>2013</v>
      </c>
      <c r="R209">
        <v>0</v>
      </c>
      <c r="S209">
        <v>0</v>
      </c>
      <c r="T209" t="s">
        <v>152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2</v>
      </c>
      <c r="AJ209">
        <v>1</v>
      </c>
      <c r="AK209">
        <v>921513006.471012</v>
      </c>
      <c r="AL209">
        <v>8</v>
      </c>
      <c r="AM209">
        <v>1</v>
      </c>
      <c r="AN209">
        <v>2013</v>
      </c>
      <c r="AO209" t="s">
        <v>62</v>
      </c>
      <c r="AP209">
        <v>-3.9786520189691466E-3</v>
      </c>
      <c r="AQ209">
        <v>-4201341.0655360166</v>
      </c>
      <c r="AR209">
        <v>22356208.760186721</v>
      </c>
    </row>
    <row r="210" spans="1:44" x14ac:dyDescent="0.25">
      <c r="A210" s="1">
        <v>24</v>
      </c>
      <c r="B210">
        <v>1454</v>
      </c>
      <c r="C210">
        <v>1454</v>
      </c>
      <c r="D210">
        <v>1454</v>
      </c>
      <c r="E210">
        <v>1190</v>
      </c>
      <c r="F210" t="s">
        <v>49</v>
      </c>
      <c r="G210" s="2">
        <v>45291</v>
      </c>
      <c r="H210" t="s">
        <v>50</v>
      </c>
      <c r="I210" t="s">
        <v>45</v>
      </c>
      <c r="J210" t="s">
        <v>46</v>
      </c>
      <c r="K210">
        <v>225946370.57394001</v>
      </c>
      <c r="L210">
        <v>214159430.14831099</v>
      </c>
      <c r="M210">
        <v>7155718485.5436201</v>
      </c>
      <c r="N210">
        <v>2.9928431446956411E-2</v>
      </c>
      <c r="O210">
        <v>7.9106283609998457E-3</v>
      </c>
      <c r="P210">
        <v>27072366489.132198</v>
      </c>
      <c r="Q210">
        <v>2023</v>
      </c>
      <c r="R210">
        <v>0</v>
      </c>
      <c r="S210">
        <v>0</v>
      </c>
      <c r="T210" t="s">
        <v>51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4</v>
      </c>
      <c r="AJ210">
        <v>1</v>
      </c>
      <c r="AK210">
        <v>23091572051.242001</v>
      </c>
      <c r="AL210">
        <v>10</v>
      </c>
      <c r="AM210">
        <v>1</v>
      </c>
      <c r="AN210">
        <v>2023</v>
      </c>
      <c r="AO210" t="s">
        <v>48</v>
      </c>
      <c r="AP210">
        <v>2.639308490294508E-2</v>
      </c>
      <c r="AQ210">
        <v>714523267.27131128</v>
      </c>
      <c r="AR210">
        <v>-488576896.69737118</v>
      </c>
    </row>
    <row r="211" spans="1:44" x14ac:dyDescent="0.25">
      <c r="A211" s="1">
        <v>25</v>
      </c>
      <c r="B211">
        <v>1455</v>
      </c>
      <c r="C211">
        <v>1455</v>
      </c>
      <c r="D211">
        <v>1455</v>
      </c>
      <c r="E211">
        <v>1191</v>
      </c>
      <c r="F211" t="s">
        <v>49</v>
      </c>
      <c r="G211" s="2">
        <v>44926</v>
      </c>
      <c r="H211" t="s">
        <v>50</v>
      </c>
      <c r="I211" t="s">
        <v>45</v>
      </c>
      <c r="J211" t="s">
        <v>46</v>
      </c>
      <c r="K211">
        <v>299908773.29558903</v>
      </c>
      <c r="L211">
        <v>322578135.17338997</v>
      </c>
      <c r="M211">
        <v>7027780457.6551104</v>
      </c>
      <c r="N211">
        <v>4.5900428608582552E-2</v>
      </c>
      <c r="O211">
        <v>1.170084938026765E-2</v>
      </c>
      <c r="P211">
        <v>27568779384.2887</v>
      </c>
      <c r="Q211">
        <v>2022</v>
      </c>
      <c r="R211">
        <v>0</v>
      </c>
      <c r="S211">
        <v>0</v>
      </c>
      <c r="T211" t="s">
        <v>51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4</v>
      </c>
      <c r="AJ211">
        <v>1</v>
      </c>
      <c r="AK211">
        <v>23091572051.242001</v>
      </c>
      <c r="AL211">
        <v>10</v>
      </c>
      <c r="AM211">
        <v>1</v>
      </c>
      <c r="AN211">
        <v>2022</v>
      </c>
      <c r="AO211" t="s">
        <v>48</v>
      </c>
      <c r="AP211">
        <v>2.639308490294508E-2</v>
      </c>
      <c r="AQ211">
        <v>727625134.96009362</v>
      </c>
      <c r="AR211">
        <v>-427716361.66450459</v>
      </c>
    </row>
    <row r="212" spans="1:44" x14ac:dyDescent="0.25">
      <c r="A212" s="1">
        <v>26</v>
      </c>
      <c r="B212">
        <v>1456</v>
      </c>
      <c r="C212">
        <v>1456</v>
      </c>
      <c r="D212">
        <v>1456</v>
      </c>
      <c r="E212">
        <v>1192</v>
      </c>
      <c r="F212" t="s">
        <v>49</v>
      </c>
      <c r="G212" s="2">
        <v>44561</v>
      </c>
      <c r="H212" t="s">
        <v>50</v>
      </c>
      <c r="I212" t="s">
        <v>45</v>
      </c>
      <c r="J212" t="s">
        <v>46</v>
      </c>
      <c r="K212">
        <v>1061958434.9665101</v>
      </c>
      <c r="L212">
        <v>816615830.10222101</v>
      </c>
      <c r="M212">
        <v>6640120969.3338003</v>
      </c>
      <c r="N212">
        <v>0.12298207124141471</v>
      </c>
      <c r="O212">
        <v>3.242818465819608E-2</v>
      </c>
      <c r="P212">
        <v>25182286295.382401</v>
      </c>
      <c r="Q212">
        <v>2021</v>
      </c>
      <c r="R212">
        <v>0</v>
      </c>
      <c r="S212">
        <v>0</v>
      </c>
      <c r="T212" t="s">
        <v>51</v>
      </c>
      <c r="U212">
        <v>0</v>
      </c>
      <c r="V212">
        <v>0</v>
      </c>
      <c r="W212">
        <v>0</v>
      </c>
      <c r="X212">
        <v>650000000</v>
      </c>
      <c r="Y212" t="s">
        <v>52</v>
      </c>
      <c r="Z212">
        <v>0</v>
      </c>
      <c r="AA212">
        <v>1</v>
      </c>
      <c r="AB212">
        <v>0</v>
      </c>
      <c r="AC212">
        <v>0</v>
      </c>
      <c r="AD212">
        <v>1</v>
      </c>
      <c r="AE212" t="s">
        <v>51</v>
      </c>
      <c r="AF212">
        <v>0</v>
      </c>
      <c r="AG212">
        <v>0</v>
      </c>
      <c r="AH212">
        <v>0</v>
      </c>
      <c r="AI212">
        <v>4</v>
      </c>
      <c r="AJ212">
        <v>1</v>
      </c>
      <c r="AK212">
        <v>23091572051.242001</v>
      </c>
      <c r="AL212">
        <v>10</v>
      </c>
      <c r="AM212">
        <v>1</v>
      </c>
      <c r="AN212">
        <v>2021</v>
      </c>
      <c r="AO212" t="s">
        <v>48</v>
      </c>
      <c r="AP212">
        <v>2.639308490294508E-2</v>
      </c>
      <c r="AQ212">
        <v>664638220.24429798</v>
      </c>
      <c r="AR212">
        <v>397320214.72221208</v>
      </c>
    </row>
    <row r="213" spans="1:44" x14ac:dyDescent="0.25">
      <c r="A213" s="1">
        <v>27</v>
      </c>
      <c r="B213">
        <v>1457</v>
      </c>
      <c r="C213">
        <v>1457</v>
      </c>
      <c r="D213">
        <v>1457</v>
      </c>
      <c r="E213">
        <v>1193</v>
      </c>
      <c r="F213" t="s">
        <v>49</v>
      </c>
      <c r="G213" s="2">
        <v>44196</v>
      </c>
      <c r="H213" t="s">
        <v>50</v>
      </c>
      <c r="I213" t="s">
        <v>45</v>
      </c>
      <c r="J213" t="s">
        <v>46</v>
      </c>
      <c r="K213">
        <v>114562359.985911</v>
      </c>
      <c r="L213">
        <v>51658248.679112397</v>
      </c>
      <c r="M213">
        <v>7075364088.7636499</v>
      </c>
      <c r="N213">
        <v>7.3011435215257119E-3</v>
      </c>
      <c r="O213">
        <v>1.9380175228888249E-3</v>
      </c>
      <c r="P213">
        <v>26655202065.515999</v>
      </c>
      <c r="Q213">
        <v>2020</v>
      </c>
      <c r="R213">
        <v>0</v>
      </c>
      <c r="S213">
        <v>0</v>
      </c>
      <c r="T213" t="s">
        <v>51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4</v>
      </c>
      <c r="AJ213">
        <v>1</v>
      </c>
      <c r="AK213">
        <v>23091572051.242001</v>
      </c>
      <c r="AL213">
        <v>10</v>
      </c>
      <c r="AM213">
        <v>1</v>
      </c>
      <c r="AN213">
        <v>2020</v>
      </c>
      <c r="AO213" t="s">
        <v>48</v>
      </c>
      <c r="AP213">
        <v>2.639308490294508E-2</v>
      </c>
      <c r="AQ213">
        <v>703513011.22032082</v>
      </c>
      <c r="AR213">
        <v>-588950651.23440981</v>
      </c>
    </row>
    <row r="214" spans="1:44" x14ac:dyDescent="0.25">
      <c r="A214" s="1">
        <v>86</v>
      </c>
      <c r="B214">
        <v>1458</v>
      </c>
      <c r="C214">
        <v>1458</v>
      </c>
      <c r="D214">
        <v>1458</v>
      </c>
      <c r="E214">
        <v>1194</v>
      </c>
      <c r="F214" t="s">
        <v>49</v>
      </c>
      <c r="G214" s="2">
        <v>43830</v>
      </c>
      <c r="H214" t="s">
        <v>50</v>
      </c>
      <c r="I214" t="s">
        <v>45</v>
      </c>
      <c r="J214" t="s">
        <v>46</v>
      </c>
      <c r="K214">
        <v>666565125.74850297</v>
      </c>
      <c r="L214">
        <v>473954057.21889502</v>
      </c>
      <c r="M214">
        <v>6997933627.4118404</v>
      </c>
      <c r="N214">
        <v>6.7727715416212822E-2</v>
      </c>
      <c r="O214">
        <v>1.9427450026088429E-2</v>
      </c>
      <c r="P214">
        <v>24396102246.174301</v>
      </c>
      <c r="Q214">
        <v>2019</v>
      </c>
      <c r="R214">
        <v>0</v>
      </c>
      <c r="S214">
        <v>0</v>
      </c>
      <c r="T214" t="s">
        <v>51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4</v>
      </c>
      <c r="AJ214">
        <v>1</v>
      </c>
      <c r="AK214">
        <v>23091572051.242001</v>
      </c>
      <c r="AL214">
        <v>10</v>
      </c>
      <c r="AM214">
        <v>1</v>
      </c>
      <c r="AN214">
        <v>2019</v>
      </c>
      <c r="AO214" t="s">
        <v>59</v>
      </c>
      <c r="AP214">
        <v>2.6740380212775649E-2</v>
      </c>
      <c r="AQ214">
        <v>652361049.77245092</v>
      </c>
      <c r="AR214">
        <v>14204075.97605205</v>
      </c>
    </row>
    <row r="215" spans="1:44" x14ac:dyDescent="0.25">
      <c r="A215" s="1">
        <v>87</v>
      </c>
      <c r="B215">
        <v>1459</v>
      </c>
      <c r="C215">
        <v>1459</v>
      </c>
      <c r="D215">
        <v>1459</v>
      </c>
      <c r="E215">
        <v>1195</v>
      </c>
      <c r="F215" t="s">
        <v>49</v>
      </c>
      <c r="G215" s="2">
        <v>43465</v>
      </c>
      <c r="H215" t="s">
        <v>50</v>
      </c>
      <c r="I215" t="s">
        <v>45</v>
      </c>
      <c r="J215" t="s">
        <v>46</v>
      </c>
      <c r="K215">
        <v>1051057630.07866</v>
      </c>
      <c r="L215">
        <v>784769254.52839696</v>
      </c>
      <c r="M215">
        <v>7314516374.3956099</v>
      </c>
      <c r="N215">
        <v>0.1072892880895685</v>
      </c>
      <c r="O215">
        <v>3.4236513963557522E-2</v>
      </c>
      <c r="P215">
        <v>22921996537.490101</v>
      </c>
      <c r="Q215">
        <v>2018</v>
      </c>
      <c r="R215">
        <v>0</v>
      </c>
      <c r="S215">
        <v>0</v>
      </c>
      <c r="T215" t="s">
        <v>51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4</v>
      </c>
      <c r="AJ215">
        <v>1</v>
      </c>
      <c r="AK215">
        <v>23091572051.242001</v>
      </c>
      <c r="AL215">
        <v>10</v>
      </c>
      <c r="AM215">
        <v>1</v>
      </c>
      <c r="AN215">
        <v>2018</v>
      </c>
      <c r="AO215" t="s">
        <v>59</v>
      </c>
      <c r="AP215">
        <v>2.6740380212775649E-2</v>
      </c>
      <c r="AQ215">
        <v>612942902.64841235</v>
      </c>
      <c r="AR215">
        <v>438114727.43024772</v>
      </c>
    </row>
    <row r="216" spans="1:44" x14ac:dyDescent="0.25">
      <c r="A216" s="1">
        <v>88</v>
      </c>
      <c r="B216">
        <v>1460</v>
      </c>
      <c r="C216">
        <v>1460</v>
      </c>
      <c r="D216">
        <v>1460</v>
      </c>
      <c r="E216">
        <v>1196</v>
      </c>
      <c r="F216" t="s">
        <v>49</v>
      </c>
      <c r="G216" s="2">
        <v>43100</v>
      </c>
      <c r="H216" t="s">
        <v>50</v>
      </c>
      <c r="I216" t="s">
        <v>45</v>
      </c>
      <c r="J216" t="s">
        <v>46</v>
      </c>
      <c r="K216">
        <v>1221247008.8668301</v>
      </c>
      <c r="L216">
        <v>909304797.85243595</v>
      </c>
      <c r="M216">
        <v>7156942206.1335697</v>
      </c>
      <c r="N216">
        <v>0.12705213646592711</v>
      </c>
      <c r="O216">
        <v>3.897353411360497E-2</v>
      </c>
      <c r="P216">
        <v>23331340575.9375</v>
      </c>
      <c r="Q216">
        <v>2017</v>
      </c>
      <c r="R216">
        <v>0</v>
      </c>
      <c r="S216">
        <v>0</v>
      </c>
      <c r="T216" t="s">
        <v>51</v>
      </c>
      <c r="U216">
        <v>0</v>
      </c>
      <c r="V216">
        <v>0</v>
      </c>
      <c r="W216">
        <v>0</v>
      </c>
      <c r="X216">
        <v>400000000</v>
      </c>
      <c r="Y216" t="s">
        <v>52</v>
      </c>
      <c r="Z216">
        <v>0</v>
      </c>
      <c r="AA216">
        <v>1</v>
      </c>
      <c r="AB216">
        <v>0</v>
      </c>
      <c r="AC216">
        <v>0</v>
      </c>
      <c r="AD216">
        <v>1</v>
      </c>
      <c r="AE216" t="s">
        <v>51</v>
      </c>
      <c r="AF216">
        <v>0</v>
      </c>
      <c r="AG216">
        <v>0</v>
      </c>
      <c r="AH216">
        <v>0</v>
      </c>
      <c r="AI216">
        <v>4</v>
      </c>
      <c r="AJ216">
        <v>1</v>
      </c>
      <c r="AK216">
        <v>23091572051.242001</v>
      </c>
      <c r="AL216">
        <v>10</v>
      </c>
      <c r="AM216">
        <v>1</v>
      </c>
      <c r="AN216">
        <v>2017</v>
      </c>
      <c r="AO216" t="s">
        <v>59</v>
      </c>
      <c r="AP216">
        <v>2.6740380212775649E-2</v>
      </c>
      <c r="AQ216">
        <v>623888917.87432885</v>
      </c>
      <c r="AR216">
        <v>597358090.99250126</v>
      </c>
    </row>
    <row r="217" spans="1:44" x14ac:dyDescent="0.25">
      <c r="A217" s="1">
        <v>142</v>
      </c>
      <c r="B217">
        <v>1461</v>
      </c>
      <c r="C217">
        <v>1461</v>
      </c>
      <c r="D217">
        <v>1461</v>
      </c>
      <c r="E217">
        <v>1197</v>
      </c>
      <c r="F217" t="s">
        <v>49</v>
      </c>
      <c r="G217" s="2">
        <v>42735</v>
      </c>
      <c r="H217" t="s">
        <v>50</v>
      </c>
      <c r="I217" t="s">
        <v>45</v>
      </c>
      <c r="J217" t="s">
        <v>46</v>
      </c>
      <c r="K217">
        <v>1280495598.32061</v>
      </c>
      <c r="L217">
        <v>1013061587.65259</v>
      </c>
      <c r="M217">
        <v>6245897043.1352596</v>
      </c>
      <c r="N217">
        <v>0.16219633155273119</v>
      </c>
      <c r="O217">
        <v>4.8634809953710029E-2</v>
      </c>
      <c r="P217">
        <v>20829969082.161701</v>
      </c>
      <c r="Q217">
        <v>2016</v>
      </c>
      <c r="R217">
        <v>0</v>
      </c>
      <c r="S217">
        <v>0</v>
      </c>
      <c r="T217" t="s">
        <v>51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4</v>
      </c>
      <c r="AJ217">
        <v>1</v>
      </c>
      <c r="AK217">
        <v>23091572051.242001</v>
      </c>
      <c r="AL217">
        <v>10</v>
      </c>
      <c r="AM217">
        <v>1</v>
      </c>
      <c r="AN217">
        <v>2016</v>
      </c>
      <c r="AO217" t="s">
        <v>62</v>
      </c>
      <c r="AP217">
        <v>3.8046758435701003E-2</v>
      </c>
      <c r="AQ217">
        <v>792512801.8921268</v>
      </c>
      <c r="AR217">
        <v>487982796.42848319</v>
      </c>
    </row>
    <row r="218" spans="1:44" x14ac:dyDescent="0.25">
      <c r="A218" s="1">
        <v>143</v>
      </c>
      <c r="B218">
        <v>1462</v>
      </c>
      <c r="C218">
        <v>1462</v>
      </c>
      <c r="D218">
        <v>1462</v>
      </c>
      <c r="E218">
        <v>1198</v>
      </c>
      <c r="F218" t="s">
        <v>49</v>
      </c>
      <c r="G218" s="2">
        <v>42369</v>
      </c>
      <c r="H218" t="s">
        <v>50</v>
      </c>
      <c r="I218" t="s">
        <v>45</v>
      </c>
      <c r="J218" t="s">
        <v>46</v>
      </c>
      <c r="K218">
        <v>1042327527.01844</v>
      </c>
      <c r="L218">
        <v>806013268.34781396</v>
      </c>
      <c r="M218">
        <v>5560791046.1255903</v>
      </c>
      <c r="N218">
        <v>0.1449457930826934</v>
      </c>
      <c r="O218">
        <v>4.3511240890744131E-2</v>
      </c>
      <c r="P218">
        <v>18524253775.517399</v>
      </c>
      <c r="Q218">
        <v>2015</v>
      </c>
      <c r="R218">
        <v>0</v>
      </c>
      <c r="S218">
        <v>0</v>
      </c>
      <c r="T218" t="s">
        <v>51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4</v>
      </c>
      <c r="AJ218">
        <v>1</v>
      </c>
      <c r="AK218">
        <v>23091572051.242001</v>
      </c>
      <c r="AL218">
        <v>10</v>
      </c>
      <c r="AM218">
        <v>1</v>
      </c>
      <c r="AN218">
        <v>2015</v>
      </c>
      <c r="AO218" t="s">
        <v>62</v>
      </c>
      <c r="AP218">
        <v>3.8046758435701003E-2</v>
      </c>
      <c r="AQ218">
        <v>704787808.59873271</v>
      </c>
      <c r="AR218">
        <v>337539718.4197073</v>
      </c>
    </row>
    <row r="219" spans="1:44" x14ac:dyDescent="0.25">
      <c r="A219" s="1">
        <v>144</v>
      </c>
      <c r="B219">
        <v>1463</v>
      </c>
      <c r="C219">
        <v>1463</v>
      </c>
      <c r="D219">
        <v>1463</v>
      </c>
      <c r="E219">
        <v>1199</v>
      </c>
      <c r="F219" t="s">
        <v>49</v>
      </c>
      <c r="G219" s="2">
        <v>42004</v>
      </c>
      <c r="H219" t="s">
        <v>50</v>
      </c>
      <c r="I219" t="s">
        <v>45</v>
      </c>
      <c r="J219" t="s">
        <v>46</v>
      </c>
      <c r="K219">
        <v>1062622707.78364</v>
      </c>
      <c r="L219">
        <v>852746635.88390505</v>
      </c>
      <c r="M219">
        <v>5680937818.2717695</v>
      </c>
      <c r="N219">
        <v>0.15010666604045389</v>
      </c>
      <c r="O219">
        <v>4.5578205771617773E-2</v>
      </c>
      <c r="P219">
        <v>18709526218.6675</v>
      </c>
      <c r="Q219">
        <v>2014</v>
      </c>
      <c r="R219">
        <v>0</v>
      </c>
      <c r="S219">
        <v>0</v>
      </c>
      <c r="T219" t="s">
        <v>51</v>
      </c>
      <c r="U219">
        <v>0</v>
      </c>
      <c r="V219">
        <v>0</v>
      </c>
      <c r="W219">
        <v>0</v>
      </c>
      <c r="X219">
        <v>400000000</v>
      </c>
      <c r="Y219" t="s">
        <v>52</v>
      </c>
      <c r="Z219">
        <v>0</v>
      </c>
      <c r="AA219">
        <v>1</v>
      </c>
      <c r="AB219">
        <v>0</v>
      </c>
      <c r="AC219">
        <v>0</v>
      </c>
      <c r="AD219">
        <v>1</v>
      </c>
      <c r="AE219" t="s">
        <v>51</v>
      </c>
      <c r="AF219">
        <v>0</v>
      </c>
      <c r="AG219">
        <v>0</v>
      </c>
      <c r="AH219">
        <v>0</v>
      </c>
      <c r="AI219">
        <v>4</v>
      </c>
      <c r="AJ219">
        <v>1</v>
      </c>
      <c r="AK219">
        <v>23091572051.242001</v>
      </c>
      <c r="AL219">
        <v>10</v>
      </c>
      <c r="AM219">
        <v>1</v>
      </c>
      <c r="AN219">
        <v>2014</v>
      </c>
      <c r="AO219" t="s">
        <v>62</v>
      </c>
      <c r="AP219">
        <v>3.8046758435701003E-2</v>
      </c>
      <c r="AQ219">
        <v>711836824.48805678</v>
      </c>
      <c r="AR219">
        <v>350785883.29558319</v>
      </c>
    </row>
    <row r="220" spans="1:44" x14ac:dyDescent="0.25">
      <c r="A220" s="1">
        <v>145</v>
      </c>
      <c r="B220">
        <v>1464</v>
      </c>
      <c r="C220">
        <v>1464</v>
      </c>
      <c r="D220">
        <v>1464</v>
      </c>
      <c r="E220">
        <v>1200</v>
      </c>
      <c r="F220" t="s">
        <v>49</v>
      </c>
      <c r="G220" s="2">
        <v>41639</v>
      </c>
      <c r="H220" t="s">
        <v>50</v>
      </c>
      <c r="I220" t="s">
        <v>45</v>
      </c>
      <c r="J220" t="s">
        <v>46</v>
      </c>
      <c r="K220">
        <v>1220002876.45155</v>
      </c>
      <c r="L220">
        <v>946330475.91852295</v>
      </c>
      <c r="M220">
        <v>6000434576.4325199</v>
      </c>
      <c r="N220">
        <v>0.15771032312148819</v>
      </c>
      <c r="O220">
        <v>5.0295341082645988E-2</v>
      </c>
      <c r="P220">
        <v>18815469893.394299</v>
      </c>
      <c r="Q220">
        <v>2013</v>
      </c>
      <c r="R220">
        <v>0</v>
      </c>
      <c r="S220">
        <v>0</v>
      </c>
      <c r="T220" t="s">
        <v>51</v>
      </c>
      <c r="U220">
        <v>0</v>
      </c>
      <c r="V220">
        <v>0</v>
      </c>
      <c r="W220">
        <v>0</v>
      </c>
      <c r="X220">
        <v>500000000</v>
      </c>
      <c r="Y220" t="s">
        <v>52</v>
      </c>
      <c r="Z220">
        <v>0</v>
      </c>
      <c r="AA220">
        <v>1</v>
      </c>
      <c r="AB220">
        <v>0</v>
      </c>
      <c r="AC220">
        <v>0</v>
      </c>
      <c r="AD220">
        <v>1</v>
      </c>
      <c r="AE220" t="s">
        <v>51</v>
      </c>
      <c r="AF220">
        <v>0</v>
      </c>
      <c r="AG220">
        <v>0</v>
      </c>
      <c r="AH220">
        <v>0</v>
      </c>
      <c r="AI220">
        <v>4</v>
      </c>
      <c r="AJ220">
        <v>1</v>
      </c>
      <c r="AK220">
        <v>23091572051.242001</v>
      </c>
      <c r="AL220">
        <v>10</v>
      </c>
      <c r="AM220">
        <v>1</v>
      </c>
      <c r="AN220">
        <v>2013</v>
      </c>
      <c r="AO220" t="s">
        <v>62</v>
      </c>
      <c r="AP220">
        <v>3.8046758435701003E-2</v>
      </c>
      <c r="AQ220">
        <v>715867637.88817775</v>
      </c>
      <c r="AR220">
        <v>504135238.56337231</v>
      </c>
    </row>
    <row r="221" spans="1:44" x14ac:dyDescent="0.25">
      <c r="A221" s="1">
        <v>1759</v>
      </c>
      <c r="B221">
        <v>1861</v>
      </c>
      <c r="C221">
        <v>1861</v>
      </c>
      <c r="D221">
        <v>1861</v>
      </c>
      <c r="E221">
        <v>8610</v>
      </c>
      <c r="F221">
        <v>5000906040</v>
      </c>
      <c r="G221" s="2">
        <v>45291</v>
      </c>
      <c r="H221" t="s">
        <v>145</v>
      </c>
      <c r="I221" t="s">
        <v>140</v>
      </c>
      <c r="J221" t="s">
        <v>46</v>
      </c>
      <c r="K221">
        <v>183.687073199389</v>
      </c>
      <c r="L221">
        <v>183.68518270473501</v>
      </c>
      <c r="M221">
        <v>-247.90010457055601</v>
      </c>
      <c r="N221">
        <v>-0.74096452287883374</v>
      </c>
      <c r="O221">
        <v>19.47114658404649</v>
      </c>
      <c r="P221">
        <v>9.4337116672541406</v>
      </c>
      <c r="Q221">
        <v>2023</v>
      </c>
      <c r="R221">
        <v>0</v>
      </c>
      <c r="S221">
        <v>0</v>
      </c>
      <c r="T221">
        <v>5000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1</v>
      </c>
      <c r="AJ221">
        <v>1</v>
      </c>
      <c r="AK221">
        <v>301.58504834471501</v>
      </c>
      <c r="AL221">
        <v>3</v>
      </c>
      <c r="AM221">
        <v>1</v>
      </c>
      <c r="AN221">
        <v>2023</v>
      </c>
      <c r="AO221" t="s">
        <v>48</v>
      </c>
      <c r="AP221">
        <v>5.4677413288106429E-2</v>
      </c>
      <c r="AQ221">
        <v>0.51581095167128621</v>
      </c>
      <c r="AR221">
        <v>183.17126224771769</v>
      </c>
    </row>
    <row r="222" spans="1:44" x14ac:dyDescent="0.25">
      <c r="A222" s="1">
        <v>1760</v>
      </c>
      <c r="B222">
        <v>1862</v>
      </c>
      <c r="C222">
        <v>1862</v>
      </c>
      <c r="D222">
        <v>1862</v>
      </c>
      <c r="E222">
        <v>8611</v>
      </c>
      <c r="F222">
        <v>5000906040</v>
      </c>
      <c r="G222" s="2">
        <v>44926</v>
      </c>
      <c r="H222" t="s">
        <v>145</v>
      </c>
      <c r="I222" t="s">
        <v>140</v>
      </c>
      <c r="J222" t="s">
        <v>46</v>
      </c>
      <c r="K222">
        <v>-192.166464247975</v>
      </c>
      <c r="L222">
        <v>-194.204553716097</v>
      </c>
      <c r="M222">
        <v>-463.521585065164</v>
      </c>
      <c r="N222">
        <v>0.41897628928929992</v>
      </c>
      <c r="O222">
        <v>-15.239202531820499</v>
      </c>
      <c r="P222">
        <v>12.7437477985206</v>
      </c>
      <c r="Q222">
        <v>2022</v>
      </c>
      <c r="R222">
        <v>0</v>
      </c>
      <c r="S222">
        <v>0</v>
      </c>
      <c r="T222">
        <v>5000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1</v>
      </c>
      <c r="AJ222">
        <v>1</v>
      </c>
      <c r="AK222">
        <v>301.58504834471501</v>
      </c>
      <c r="AL222">
        <v>3</v>
      </c>
      <c r="AM222">
        <v>1</v>
      </c>
      <c r="AN222">
        <v>2022</v>
      </c>
      <c r="AO222" t="s">
        <v>48</v>
      </c>
      <c r="AP222">
        <v>5.4677413288106429E-2</v>
      </c>
      <c r="AQ222">
        <v>0.69679516521910734</v>
      </c>
      <c r="AR222">
        <v>-192.8632594131941</v>
      </c>
    </row>
    <row r="223" spans="1:44" x14ac:dyDescent="0.25">
      <c r="A223" s="1">
        <v>1761</v>
      </c>
      <c r="B223">
        <v>1863</v>
      </c>
      <c r="C223">
        <v>1863</v>
      </c>
      <c r="D223">
        <v>1863</v>
      </c>
      <c r="E223">
        <v>8612</v>
      </c>
      <c r="F223">
        <v>5000906040</v>
      </c>
      <c r="G223" s="2">
        <v>44561</v>
      </c>
      <c r="H223" t="s">
        <v>145</v>
      </c>
      <c r="I223" t="s">
        <v>140</v>
      </c>
      <c r="J223" t="s">
        <v>46</v>
      </c>
      <c r="K223">
        <v>-71.122142381902904</v>
      </c>
      <c r="L223">
        <v>-71.874161011310704</v>
      </c>
      <c r="M223">
        <v>-192.55352361942801</v>
      </c>
      <c r="N223">
        <v>0.37326847964291859</v>
      </c>
      <c r="O223">
        <v>-0.22323731550779721</v>
      </c>
      <c r="P223">
        <v>321.96302328676001</v>
      </c>
      <c r="Q223">
        <v>2021</v>
      </c>
      <c r="R223">
        <v>0</v>
      </c>
      <c r="S223">
        <v>0</v>
      </c>
      <c r="T223">
        <v>5000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1</v>
      </c>
      <c r="AJ223">
        <v>1</v>
      </c>
      <c r="AK223">
        <v>301.58504834471501</v>
      </c>
      <c r="AL223">
        <v>3</v>
      </c>
      <c r="AM223">
        <v>1</v>
      </c>
      <c r="AN223">
        <v>2021</v>
      </c>
      <c r="AO223" t="s">
        <v>48</v>
      </c>
      <c r="AP223">
        <v>5.4677413288106429E-2</v>
      </c>
      <c r="AQ223">
        <v>17.60410528773841</v>
      </c>
      <c r="AR223">
        <v>-88.72624766964131</v>
      </c>
    </row>
    <row r="224" spans="1:44" x14ac:dyDescent="0.25">
      <c r="A224" s="1">
        <v>1762</v>
      </c>
      <c r="B224">
        <v>1864</v>
      </c>
      <c r="C224">
        <v>1864</v>
      </c>
      <c r="D224">
        <v>1864</v>
      </c>
      <c r="E224">
        <v>8613</v>
      </c>
      <c r="F224">
        <v>5000906040</v>
      </c>
      <c r="G224" s="2">
        <v>44196</v>
      </c>
      <c r="H224" t="s">
        <v>145</v>
      </c>
      <c r="I224" t="s">
        <v>140</v>
      </c>
      <c r="J224" t="s">
        <v>46</v>
      </c>
      <c r="K224">
        <v>-100.717540593202</v>
      </c>
      <c r="L224">
        <v>-101.59868225445599</v>
      </c>
      <c r="M224">
        <v>-159.01995814389801</v>
      </c>
      <c r="N224">
        <v>0.63890522573599728</v>
      </c>
      <c r="O224">
        <v>-0.27674230703400787</v>
      </c>
      <c r="P224">
        <v>367.12378148228299</v>
      </c>
      <c r="Q224">
        <v>2020</v>
      </c>
      <c r="R224">
        <v>0</v>
      </c>
      <c r="S224">
        <v>0</v>
      </c>
      <c r="T224">
        <v>5000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1</v>
      </c>
      <c r="AJ224">
        <v>1</v>
      </c>
      <c r="AK224">
        <v>301.58504834471501</v>
      </c>
      <c r="AL224">
        <v>3</v>
      </c>
      <c r="AM224">
        <v>1</v>
      </c>
      <c r="AN224">
        <v>2020</v>
      </c>
      <c r="AO224" t="s">
        <v>48</v>
      </c>
      <c r="AP224">
        <v>5.4677413288106429E-2</v>
      </c>
      <c r="AQ224">
        <v>20.073378727999259</v>
      </c>
      <c r="AR224">
        <v>-120.7909193212013</v>
      </c>
    </row>
    <row r="225" spans="1:44" x14ac:dyDescent="0.25">
      <c r="A225" s="1">
        <v>1840</v>
      </c>
      <c r="B225">
        <v>1865</v>
      </c>
      <c r="C225">
        <v>1865</v>
      </c>
      <c r="D225">
        <v>1865</v>
      </c>
      <c r="E225">
        <v>8614</v>
      </c>
      <c r="F225">
        <v>5000906040</v>
      </c>
      <c r="G225" s="2">
        <v>43830</v>
      </c>
      <c r="H225" t="s">
        <v>145</v>
      </c>
      <c r="I225" t="s">
        <v>140</v>
      </c>
      <c r="J225" t="s">
        <v>46</v>
      </c>
      <c r="K225">
        <v>-10.108390140730499</v>
      </c>
      <c r="L225">
        <v>-11.0691661921419</v>
      </c>
      <c r="M225">
        <v>-187.521221833564</v>
      </c>
      <c r="N225">
        <v>5.9028871953311128E-2</v>
      </c>
      <c r="O225">
        <v>-4.2832803539680872E-2</v>
      </c>
      <c r="P225">
        <v>258.42730985113502</v>
      </c>
      <c r="Q225">
        <v>2019</v>
      </c>
      <c r="R225">
        <v>0</v>
      </c>
      <c r="S225">
        <v>0</v>
      </c>
      <c r="T225">
        <v>5000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1</v>
      </c>
      <c r="AJ225">
        <v>1</v>
      </c>
      <c r="AK225">
        <v>301.58504834471501</v>
      </c>
      <c r="AL225">
        <v>3</v>
      </c>
      <c r="AM225">
        <v>1</v>
      </c>
      <c r="AN225">
        <v>2019</v>
      </c>
      <c r="AO225" t="s">
        <v>59</v>
      </c>
      <c r="AP225">
        <v>3.0717388517610751E-2</v>
      </c>
      <c r="AQ225">
        <v>7.9382120802582916</v>
      </c>
      <c r="AR225">
        <v>-18.046602220988792</v>
      </c>
    </row>
    <row r="226" spans="1:44" x14ac:dyDescent="0.25">
      <c r="A226" s="1">
        <v>1841</v>
      </c>
      <c r="B226">
        <v>1866</v>
      </c>
      <c r="C226">
        <v>1866</v>
      </c>
      <c r="D226">
        <v>1866</v>
      </c>
      <c r="E226">
        <v>8615</v>
      </c>
      <c r="F226">
        <v>5000906040</v>
      </c>
      <c r="G226" s="2">
        <v>43465</v>
      </c>
      <c r="H226" t="s">
        <v>145</v>
      </c>
      <c r="I226" t="s">
        <v>140</v>
      </c>
      <c r="J226" t="s">
        <v>46</v>
      </c>
      <c r="K226">
        <v>-17.535978424898001</v>
      </c>
      <c r="L226">
        <v>-18.123451717491701</v>
      </c>
      <c r="M226">
        <v>-162.713385826772</v>
      </c>
      <c r="N226">
        <v>0.1113826722085809</v>
      </c>
      <c r="O226">
        <v>-6.6234820312765494E-2</v>
      </c>
      <c r="P226">
        <v>273.62423015434302</v>
      </c>
      <c r="Q226">
        <v>2018</v>
      </c>
      <c r="R226">
        <v>0</v>
      </c>
      <c r="S226">
        <v>0</v>
      </c>
      <c r="T226">
        <v>5000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1</v>
      </c>
      <c r="AJ226">
        <v>1</v>
      </c>
      <c r="AK226">
        <v>301.58504834471501</v>
      </c>
      <c r="AL226">
        <v>3</v>
      </c>
      <c r="AM226">
        <v>1</v>
      </c>
      <c r="AN226">
        <v>2018</v>
      </c>
      <c r="AO226" t="s">
        <v>59</v>
      </c>
      <c r="AP226">
        <v>3.0717388517610751E-2</v>
      </c>
      <c r="AQ226">
        <v>8.4050217854830986</v>
      </c>
      <c r="AR226">
        <v>-25.941000210381102</v>
      </c>
    </row>
    <row r="227" spans="1:44" x14ac:dyDescent="0.25">
      <c r="A227" s="1">
        <v>1842</v>
      </c>
      <c r="B227">
        <v>1867</v>
      </c>
      <c r="C227">
        <v>1867</v>
      </c>
      <c r="D227">
        <v>1867</v>
      </c>
      <c r="E227">
        <v>8616</v>
      </c>
      <c r="F227">
        <v>5000906040</v>
      </c>
      <c r="G227" s="2">
        <v>43100</v>
      </c>
      <c r="H227" t="s">
        <v>145</v>
      </c>
      <c r="I227" t="s">
        <v>140</v>
      </c>
      <c r="J227" t="s">
        <v>46</v>
      </c>
      <c r="K227">
        <v>-37.9914741823833</v>
      </c>
      <c r="L227">
        <v>-62.362089425725799</v>
      </c>
      <c r="M227">
        <v>-133.01665465847299</v>
      </c>
      <c r="N227">
        <v>0.46882918222416298</v>
      </c>
      <c r="O227">
        <v>-0.2213354204367444</v>
      </c>
      <c r="P227">
        <v>281.75377127922599</v>
      </c>
      <c r="Q227">
        <v>2017</v>
      </c>
      <c r="R227">
        <v>0</v>
      </c>
      <c r="S227">
        <v>0</v>
      </c>
      <c r="T227">
        <v>5000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1</v>
      </c>
      <c r="AJ227">
        <v>1</v>
      </c>
      <c r="AK227">
        <v>301.58504834471501</v>
      </c>
      <c r="AL227">
        <v>3</v>
      </c>
      <c r="AM227">
        <v>1</v>
      </c>
      <c r="AN227">
        <v>2017</v>
      </c>
      <c r="AO227" t="s">
        <v>59</v>
      </c>
      <c r="AP227">
        <v>3.0717388517610751E-2</v>
      </c>
      <c r="AQ227">
        <v>8.6547400586860235</v>
      </c>
      <c r="AR227">
        <v>-46.646214241069323</v>
      </c>
    </row>
    <row r="228" spans="1:44" x14ac:dyDescent="0.25">
      <c r="A228" s="1">
        <v>1913</v>
      </c>
      <c r="B228">
        <v>1868</v>
      </c>
      <c r="C228">
        <v>1868</v>
      </c>
      <c r="D228">
        <v>1868</v>
      </c>
      <c r="E228">
        <v>8617</v>
      </c>
      <c r="F228">
        <v>5000906040</v>
      </c>
      <c r="G228" s="2">
        <v>42735</v>
      </c>
      <c r="H228" t="s">
        <v>145</v>
      </c>
      <c r="I228" t="s">
        <v>140</v>
      </c>
      <c r="J228" t="s">
        <v>46</v>
      </c>
      <c r="K228">
        <v>-39.3433311345646</v>
      </c>
      <c r="L228">
        <v>-28.743034300791599</v>
      </c>
      <c r="M228">
        <v>-75.351842018469696</v>
      </c>
      <c r="N228">
        <v>0.38145098422074819</v>
      </c>
      <c r="O228">
        <v>-8.7132394550951134E-2</v>
      </c>
      <c r="P228">
        <v>329.87770448548798</v>
      </c>
      <c r="Q228">
        <v>2016</v>
      </c>
      <c r="R228">
        <v>0</v>
      </c>
      <c r="S228">
        <v>0</v>
      </c>
      <c r="T228">
        <v>5000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1</v>
      </c>
      <c r="AJ228">
        <v>1</v>
      </c>
      <c r="AK228">
        <v>301.58504834471501</v>
      </c>
      <c r="AL228">
        <v>3</v>
      </c>
      <c r="AM228">
        <v>1</v>
      </c>
      <c r="AN228">
        <v>2016</v>
      </c>
      <c r="AO228" t="s">
        <v>62</v>
      </c>
      <c r="AP228">
        <v>4.6522305896109353E-2</v>
      </c>
      <c r="AQ228">
        <v>15.346671476380241</v>
      </c>
      <c r="AR228">
        <v>-54.690002610944838</v>
      </c>
    </row>
    <row r="229" spans="1:44" x14ac:dyDescent="0.25">
      <c r="A229" s="1">
        <v>1914</v>
      </c>
      <c r="B229">
        <v>1869</v>
      </c>
      <c r="C229">
        <v>1869</v>
      </c>
      <c r="D229">
        <v>1869</v>
      </c>
      <c r="E229">
        <v>8618</v>
      </c>
      <c r="F229">
        <v>5000906040</v>
      </c>
      <c r="G229" s="2">
        <v>42369</v>
      </c>
      <c r="H229" t="s">
        <v>145</v>
      </c>
      <c r="I229" t="s">
        <v>140</v>
      </c>
      <c r="J229" t="s">
        <v>46</v>
      </c>
      <c r="K229">
        <v>-32.273830192271099</v>
      </c>
      <c r="L229">
        <v>-28.300649152864999</v>
      </c>
      <c r="M229">
        <v>-58.395084713496999</v>
      </c>
      <c r="N229">
        <v>0.48464094695154708</v>
      </c>
      <c r="O229">
        <v>-7.0825353787776074E-2</v>
      </c>
      <c r="P229">
        <v>399.583590329336</v>
      </c>
      <c r="Q229">
        <v>2015</v>
      </c>
      <c r="R229">
        <v>0</v>
      </c>
      <c r="S229">
        <v>0</v>
      </c>
      <c r="T229">
        <v>5000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1</v>
      </c>
      <c r="AJ229">
        <v>1</v>
      </c>
      <c r="AK229">
        <v>301.58504834471501</v>
      </c>
      <c r="AL229">
        <v>3</v>
      </c>
      <c r="AM229">
        <v>1</v>
      </c>
      <c r="AN229">
        <v>2015</v>
      </c>
      <c r="AO229" t="s">
        <v>62</v>
      </c>
      <c r="AP229">
        <v>4.6522305896109353E-2</v>
      </c>
      <c r="AQ229">
        <v>18.58955002036701</v>
      </c>
      <c r="AR229">
        <v>-50.863380212638113</v>
      </c>
    </row>
    <row r="230" spans="1:44" x14ac:dyDescent="0.25">
      <c r="A230" s="1">
        <v>1915</v>
      </c>
      <c r="B230">
        <v>1870</v>
      </c>
      <c r="C230">
        <v>1870</v>
      </c>
      <c r="D230">
        <v>1870</v>
      </c>
      <c r="E230">
        <v>8619</v>
      </c>
      <c r="F230">
        <v>5000906040</v>
      </c>
      <c r="G230" s="2">
        <v>42004</v>
      </c>
      <c r="H230" t="s">
        <v>145</v>
      </c>
      <c r="I230" t="s">
        <v>140</v>
      </c>
      <c r="J230" t="s">
        <v>46</v>
      </c>
      <c r="K230">
        <v>-25.629389871617899</v>
      </c>
      <c r="L230">
        <v>-19.936174883954301</v>
      </c>
      <c r="M230">
        <v>-29.504738008614598</v>
      </c>
      <c r="N230">
        <v>0.67569401491155312</v>
      </c>
      <c r="O230">
        <v>-3.8135238998249443E-2</v>
      </c>
      <c r="P230">
        <v>522.77566386484295</v>
      </c>
      <c r="Q230">
        <v>2014</v>
      </c>
      <c r="R230">
        <v>0</v>
      </c>
      <c r="S230">
        <v>0</v>
      </c>
      <c r="T230">
        <v>5000</v>
      </c>
      <c r="U230">
        <v>0</v>
      </c>
      <c r="V230">
        <v>347515410</v>
      </c>
      <c r="W230">
        <v>0</v>
      </c>
      <c r="X230">
        <v>0</v>
      </c>
      <c r="Y230" t="s">
        <v>147</v>
      </c>
      <c r="Z230">
        <v>0</v>
      </c>
      <c r="AA230">
        <v>1</v>
      </c>
      <c r="AB230">
        <v>1</v>
      </c>
      <c r="AC230">
        <v>0</v>
      </c>
      <c r="AD230">
        <v>0</v>
      </c>
      <c r="AE230" t="s">
        <v>148</v>
      </c>
      <c r="AF230">
        <v>0</v>
      </c>
      <c r="AG230">
        <v>0</v>
      </c>
      <c r="AH230">
        <v>0</v>
      </c>
      <c r="AI230">
        <v>1</v>
      </c>
      <c r="AJ230">
        <v>1</v>
      </c>
      <c r="AK230">
        <v>301.58504834471501</v>
      </c>
      <c r="AL230">
        <v>3</v>
      </c>
      <c r="AM230">
        <v>1</v>
      </c>
      <c r="AN230">
        <v>2014</v>
      </c>
      <c r="AO230" t="s">
        <v>62</v>
      </c>
      <c r="AP230">
        <v>4.6522305896109353E-2</v>
      </c>
      <c r="AQ230">
        <v>24.320729349361869</v>
      </c>
      <c r="AR230">
        <v>-49.950119220979772</v>
      </c>
    </row>
    <row r="231" spans="1:44" x14ac:dyDescent="0.25">
      <c r="A231" s="1">
        <v>1916</v>
      </c>
      <c r="B231">
        <v>1871</v>
      </c>
      <c r="C231">
        <v>1871</v>
      </c>
      <c r="D231">
        <v>1871</v>
      </c>
      <c r="E231">
        <v>8620</v>
      </c>
      <c r="F231">
        <v>5000906040</v>
      </c>
      <c r="G231" s="2">
        <v>41639</v>
      </c>
      <c r="H231" t="s">
        <v>145</v>
      </c>
      <c r="I231" t="s">
        <v>140</v>
      </c>
      <c r="J231" t="s">
        <v>46</v>
      </c>
      <c r="K231">
        <v>-18.772427539720798</v>
      </c>
      <c r="L231">
        <v>-14.785694752046201</v>
      </c>
      <c r="M231">
        <v>-4.5276244583533902</v>
      </c>
      <c r="N231">
        <v>3.2656627969148029</v>
      </c>
      <c r="O231">
        <v>-2.7374376895047351E-2</v>
      </c>
      <c r="P231">
        <v>540.12899759268203</v>
      </c>
      <c r="Q231">
        <v>2013</v>
      </c>
      <c r="R231">
        <v>0</v>
      </c>
      <c r="S231">
        <v>0</v>
      </c>
      <c r="T231">
        <v>5000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1</v>
      </c>
      <c r="AJ231">
        <v>1</v>
      </c>
      <c r="AK231">
        <v>301.58504834471501</v>
      </c>
      <c r="AL231">
        <v>3</v>
      </c>
      <c r="AM231">
        <v>1</v>
      </c>
      <c r="AN231">
        <v>2013</v>
      </c>
      <c r="AO231" t="s">
        <v>62</v>
      </c>
      <c r="AP231">
        <v>4.6522305896109353E-2</v>
      </c>
      <c r="AQ231">
        <v>25.128046449365669</v>
      </c>
      <c r="AR231">
        <v>-43.900473989086457</v>
      </c>
    </row>
    <row r="232" spans="1:44" x14ac:dyDescent="0.25">
      <c r="A232" s="1">
        <v>835</v>
      </c>
      <c r="B232">
        <v>1872</v>
      </c>
      <c r="C232">
        <v>1872</v>
      </c>
      <c r="D232">
        <v>1872</v>
      </c>
      <c r="E232">
        <v>5837</v>
      </c>
      <c r="F232">
        <v>4296702445</v>
      </c>
      <c r="G232" s="2">
        <v>45291</v>
      </c>
      <c r="H232" t="s">
        <v>114</v>
      </c>
      <c r="I232" t="s">
        <v>100</v>
      </c>
      <c r="J232" t="s">
        <v>46</v>
      </c>
      <c r="K232">
        <v>625.86400000000003</v>
      </c>
      <c r="L232">
        <v>498.702</v>
      </c>
      <c r="M232">
        <v>4028.998</v>
      </c>
      <c r="N232">
        <v>0.123778170155458</v>
      </c>
      <c r="O232">
        <v>2.9177335824464419E-2</v>
      </c>
      <c r="P232">
        <v>17092.101999999999</v>
      </c>
      <c r="Q232">
        <v>2023</v>
      </c>
      <c r="R232">
        <v>0</v>
      </c>
      <c r="S232">
        <v>0</v>
      </c>
      <c r="T232">
        <v>4296</v>
      </c>
      <c r="U232">
        <v>0</v>
      </c>
      <c r="V232">
        <v>0</v>
      </c>
      <c r="W232">
        <v>0</v>
      </c>
      <c r="X232">
        <v>500000000</v>
      </c>
      <c r="Y232" t="s">
        <v>115</v>
      </c>
      <c r="Z232">
        <v>0</v>
      </c>
      <c r="AA232">
        <v>1</v>
      </c>
      <c r="AB232">
        <v>0</v>
      </c>
      <c r="AC232">
        <v>0</v>
      </c>
      <c r="AD232">
        <v>1</v>
      </c>
      <c r="AE232" t="s">
        <v>116</v>
      </c>
      <c r="AF232">
        <v>0</v>
      </c>
      <c r="AG232">
        <v>0</v>
      </c>
      <c r="AH232">
        <v>0</v>
      </c>
      <c r="AI232">
        <v>5</v>
      </c>
      <c r="AJ232">
        <v>1</v>
      </c>
      <c r="AK232">
        <v>14340.693727272699</v>
      </c>
      <c r="AL232">
        <v>5</v>
      </c>
      <c r="AM232">
        <v>1</v>
      </c>
      <c r="AN232">
        <v>2023</v>
      </c>
      <c r="AO232" t="s">
        <v>48</v>
      </c>
      <c r="AP232">
        <v>3.4062668681992411E-2</v>
      </c>
      <c r="AQ232">
        <v>582.20260750481987</v>
      </c>
      <c r="AR232">
        <v>43.661392495180174</v>
      </c>
    </row>
    <row r="233" spans="1:44" x14ac:dyDescent="0.25">
      <c r="A233" s="1">
        <v>836</v>
      </c>
      <c r="B233">
        <v>1873</v>
      </c>
      <c r="C233">
        <v>1873</v>
      </c>
      <c r="D233">
        <v>1873</v>
      </c>
      <c r="E233">
        <v>5838</v>
      </c>
      <c r="F233">
        <v>4296702445</v>
      </c>
      <c r="G233" s="2">
        <v>44926</v>
      </c>
      <c r="H233" t="s">
        <v>114</v>
      </c>
      <c r="I233" t="s">
        <v>100</v>
      </c>
      <c r="J233" t="s">
        <v>46</v>
      </c>
      <c r="K233">
        <v>1423.6579999999999</v>
      </c>
      <c r="L233">
        <v>1051.711</v>
      </c>
      <c r="M233">
        <v>4279.393</v>
      </c>
      <c r="N233">
        <v>0.24576172368370941</v>
      </c>
      <c r="O233">
        <v>6.3773945829277895E-2</v>
      </c>
      <c r="P233">
        <v>16491.233</v>
      </c>
      <c r="Q233">
        <v>2022</v>
      </c>
      <c r="R233">
        <v>0</v>
      </c>
      <c r="S233">
        <v>0</v>
      </c>
      <c r="T233">
        <v>4296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5</v>
      </c>
      <c r="AJ233">
        <v>1</v>
      </c>
      <c r="AK233">
        <v>14340.693727272699</v>
      </c>
      <c r="AL233">
        <v>5</v>
      </c>
      <c r="AM233">
        <v>1</v>
      </c>
      <c r="AN233">
        <v>2022</v>
      </c>
      <c r="AO233" t="s">
        <v>48</v>
      </c>
      <c r="AP233">
        <v>3.4062668681992411E-2</v>
      </c>
      <c r="AQ233">
        <v>561.73540583653971</v>
      </c>
      <c r="AR233">
        <v>861.92259416346019</v>
      </c>
    </row>
    <row r="234" spans="1:44" x14ac:dyDescent="0.25">
      <c r="A234" s="1">
        <v>837</v>
      </c>
      <c r="B234">
        <v>1874</v>
      </c>
      <c r="C234">
        <v>1874</v>
      </c>
      <c r="D234">
        <v>1874</v>
      </c>
      <c r="E234">
        <v>5839</v>
      </c>
      <c r="F234">
        <v>4296702445</v>
      </c>
      <c r="G234" s="2">
        <v>44561</v>
      </c>
      <c r="H234" t="s">
        <v>114</v>
      </c>
      <c r="I234" t="s">
        <v>100</v>
      </c>
      <c r="J234" t="s">
        <v>46</v>
      </c>
      <c r="K234">
        <v>912.81100000000004</v>
      </c>
      <c r="L234">
        <v>570.74400000000003</v>
      </c>
      <c r="M234">
        <v>4693.6629999999996</v>
      </c>
      <c r="N234">
        <v>0.1215988450811232</v>
      </c>
      <c r="O234">
        <v>3.7327807124751533E-2</v>
      </c>
      <c r="P234">
        <v>15290.049000000001</v>
      </c>
      <c r="Q234">
        <v>2021</v>
      </c>
      <c r="R234">
        <v>0</v>
      </c>
      <c r="S234">
        <v>0</v>
      </c>
      <c r="T234">
        <v>4296</v>
      </c>
      <c r="U234">
        <v>0</v>
      </c>
      <c r="V234">
        <v>0</v>
      </c>
      <c r="W234">
        <v>0</v>
      </c>
      <c r="X234">
        <v>500000000</v>
      </c>
      <c r="Y234" t="s">
        <v>115</v>
      </c>
      <c r="Z234">
        <v>0</v>
      </c>
      <c r="AA234">
        <v>1</v>
      </c>
      <c r="AB234">
        <v>0</v>
      </c>
      <c r="AC234">
        <v>0</v>
      </c>
      <c r="AD234">
        <v>1</v>
      </c>
      <c r="AE234" t="s">
        <v>116</v>
      </c>
      <c r="AF234">
        <v>0</v>
      </c>
      <c r="AG234">
        <v>0</v>
      </c>
      <c r="AH234">
        <v>0</v>
      </c>
      <c r="AI234">
        <v>5</v>
      </c>
      <c r="AJ234">
        <v>1</v>
      </c>
      <c r="AK234">
        <v>14340.693727272699</v>
      </c>
      <c r="AL234">
        <v>5</v>
      </c>
      <c r="AM234">
        <v>1</v>
      </c>
      <c r="AN234">
        <v>2021</v>
      </c>
      <c r="AO234" t="s">
        <v>48</v>
      </c>
      <c r="AP234">
        <v>3.4062668681992411E-2</v>
      </c>
      <c r="AQ234">
        <v>520.81987321842939</v>
      </c>
      <c r="AR234">
        <v>391.99112678157059</v>
      </c>
    </row>
    <row r="235" spans="1:44" x14ac:dyDescent="0.25">
      <c r="A235" s="1">
        <v>838</v>
      </c>
      <c r="B235">
        <v>1875</v>
      </c>
      <c r="C235">
        <v>1875</v>
      </c>
      <c r="D235">
        <v>1875</v>
      </c>
      <c r="E235">
        <v>5840</v>
      </c>
      <c r="F235">
        <v>4296702445</v>
      </c>
      <c r="G235" s="2">
        <v>44196</v>
      </c>
      <c r="H235" t="s">
        <v>114</v>
      </c>
      <c r="I235" t="s">
        <v>100</v>
      </c>
      <c r="J235" t="s">
        <v>46</v>
      </c>
      <c r="K235">
        <v>91.061000000000007</v>
      </c>
      <c r="L235">
        <v>1.333</v>
      </c>
      <c r="M235">
        <v>5156.8810000000003</v>
      </c>
      <c r="N235">
        <v>2.5848957926312432E-4</v>
      </c>
      <c r="O235">
        <v>9.0123547687425025E-5</v>
      </c>
      <c r="P235">
        <v>14790.807000000001</v>
      </c>
      <c r="Q235">
        <v>2020</v>
      </c>
      <c r="R235">
        <v>0</v>
      </c>
      <c r="S235">
        <v>0</v>
      </c>
      <c r="T235">
        <v>4296</v>
      </c>
      <c r="U235" t="s">
        <v>117</v>
      </c>
      <c r="V235">
        <v>0</v>
      </c>
      <c r="W235">
        <v>0</v>
      </c>
      <c r="X235">
        <v>500000000</v>
      </c>
      <c r="Y235" t="s">
        <v>115</v>
      </c>
      <c r="Z235">
        <v>0</v>
      </c>
      <c r="AA235">
        <v>1</v>
      </c>
      <c r="AB235">
        <v>0</v>
      </c>
      <c r="AC235">
        <v>0</v>
      </c>
      <c r="AD235">
        <v>1</v>
      </c>
      <c r="AE235" t="s">
        <v>116</v>
      </c>
      <c r="AF235">
        <v>0</v>
      </c>
      <c r="AG235">
        <v>0</v>
      </c>
      <c r="AH235">
        <v>0</v>
      </c>
      <c r="AI235">
        <v>5</v>
      </c>
      <c r="AJ235">
        <v>1</v>
      </c>
      <c r="AK235">
        <v>14340.693727272699</v>
      </c>
      <c r="AL235">
        <v>5</v>
      </c>
      <c r="AM235">
        <v>1</v>
      </c>
      <c r="AN235">
        <v>2020</v>
      </c>
      <c r="AO235" t="s">
        <v>48</v>
      </c>
      <c r="AP235">
        <v>3.4062668681992411E-2</v>
      </c>
      <c r="AQ235">
        <v>503.81435838029421</v>
      </c>
      <c r="AR235">
        <v>-412.75335838029412</v>
      </c>
    </row>
    <row r="236" spans="1:44" x14ac:dyDescent="0.25">
      <c r="A236" s="1">
        <v>1065</v>
      </c>
      <c r="B236">
        <v>1876</v>
      </c>
      <c r="C236">
        <v>1876</v>
      </c>
      <c r="D236">
        <v>1876</v>
      </c>
      <c r="E236">
        <v>5841</v>
      </c>
      <c r="F236">
        <v>4296702445</v>
      </c>
      <c r="G236" s="2">
        <v>43830</v>
      </c>
      <c r="H236" t="s">
        <v>114</v>
      </c>
      <c r="I236" t="s">
        <v>100</v>
      </c>
      <c r="J236" t="s">
        <v>46</v>
      </c>
      <c r="K236">
        <v>271.76</v>
      </c>
      <c r="L236">
        <v>122.72</v>
      </c>
      <c r="M236">
        <v>5435.1369999999997</v>
      </c>
      <c r="N236">
        <v>2.2579007668067981E-2</v>
      </c>
      <c r="O236">
        <v>8.0727356640857856E-3</v>
      </c>
      <c r="P236">
        <v>15201.786</v>
      </c>
      <c r="Q236">
        <v>2019</v>
      </c>
      <c r="R236">
        <v>0</v>
      </c>
      <c r="S236">
        <v>0</v>
      </c>
      <c r="T236">
        <v>4296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5</v>
      </c>
      <c r="AJ236">
        <v>1</v>
      </c>
      <c r="AK236">
        <v>14340.693727272699</v>
      </c>
      <c r="AL236">
        <v>5</v>
      </c>
      <c r="AM236">
        <v>1</v>
      </c>
      <c r="AN236">
        <v>2019</v>
      </c>
      <c r="AO236" t="s">
        <v>59</v>
      </c>
      <c r="AP236">
        <v>3.5092427195981053E-2</v>
      </c>
      <c r="AQ236">
        <v>533.46756845388404</v>
      </c>
      <c r="AR236">
        <v>-261.70756845388411</v>
      </c>
    </row>
    <row r="237" spans="1:44" x14ac:dyDescent="0.25">
      <c r="A237" s="1">
        <v>1066</v>
      </c>
      <c r="B237">
        <v>1877</v>
      </c>
      <c r="C237">
        <v>1877</v>
      </c>
      <c r="D237">
        <v>1877</v>
      </c>
      <c r="E237">
        <v>5842</v>
      </c>
      <c r="F237">
        <v>4296702445</v>
      </c>
      <c r="G237" s="2">
        <v>43465</v>
      </c>
      <c r="H237" t="s">
        <v>114</v>
      </c>
      <c r="I237" t="s">
        <v>100</v>
      </c>
      <c r="J237" t="s">
        <v>46</v>
      </c>
      <c r="K237">
        <v>906.476</v>
      </c>
      <c r="L237">
        <v>523.96900000000005</v>
      </c>
      <c r="M237">
        <v>5606.08</v>
      </c>
      <c r="N237">
        <v>9.3464417204178335E-2</v>
      </c>
      <c r="O237">
        <v>3.449258763758601E-2</v>
      </c>
      <c r="P237">
        <v>15190.771000000001</v>
      </c>
      <c r="Q237">
        <v>2018</v>
      </c>
      <c r="R237">
        <v>0</v>
      </c>
      <c r="S237">
        <v>0</v>
      </c>
      <c r="T237">
        <v>4296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5</v>
      </c>
      <c r="AJ237">
        <v>1</v>
      </c>
      <c r="AK237">
        <v>14340.693727272699</v>
      </c>
      <c r="AL237">
        <v>5</v>
      </c>
      <c r="AM237">
        <v>1</v>
      </c>
      <c r="AN237">
        <v>2018</v>
      </c>
      <c r="AO237" t="s">
        <v>59</v>
      </c>
      <c r="AP237">
        <v>3.5092427195981053E-2</v>
      </c>
      <c r="AQ237">
        <v>533.0810253683203</v>
      </c>
      <c r="AR237">
        <v>373.3949746316797</v>
      </c>
    </row>
    <row r="238" spans="1:44" x14ac:dyDescent="0.25">
      <c r="A238" s="1">
        <v>1067</v>
      </c>
      <c r="B238">
        <v>1878</v>
      </c>
      <c r="C238">
        <v>1878</v>
      </c>
      <c r="D238">
        <v>1878</v>
      </c>
      <c r="E238">
        <v>5843</v>
      </c>
      <c r="F238">
        <v>4296702445</v>
      </c>
      <c r="G238" s="2">
        <v>43100</v>
      </c>
      <c r="H238" t="s">
        <v>114</v>
      </c>
      <c r="I238" t="s">
        <v>100</v>
      </c>
      <c r="J238" t="s">
        <v>46</v>
      </c>
      <c r="K238">
        <v>117.465</v>
      </c>
      <c r="L238">
        <v>102.839</v>
      </c>
      <c r="M238">
        <v>5489.1509999999998</v>
      </c>
      <c r="N238">
        <v>1.8734955551414051E-2</v>
      </c>
      <c r="O238">
        <v>6.9313066725259376E-3</v>
      </c>
      <c r="P238">
        <v>14836.885</v>
      </c>
      <c r="Q238">
        <v>2017</v>
      </c>
      <c r="R238">
        <v>0</v>
      </c>
      <c r="S238">
        <v>0</v>
      </c>
      <c r="T238">
        <v>4296</v>
      </c>
      <c r="U238" t="s">
        <v>117</v>
      </c>
      <c r="V238">
        <v>0</v>
      </c>
      <c r="W238">
        <v>0</v>
      </c>
      <c r="X238">
        <v>500000000</v>
      </c>
      <c r="Y238" t="s">
        <v>115</v>
      </c>
      <c r="Z238">
        <v>0</v>
      </c>
      <c r="AA238">
        <v>1</v>
      </c>
      <c r="AB238">
        <v>0</v>
      </c>
      <c r="AC238">
        <v>0</v>
      </c>
      <c r="AD238">
        <v>1</v>
      </c>
      <c r="AE238" t="s">
        <v>116</v>
      </c>
      <c r="AF238">
        <v>0</v>
      </c>
      <c r="AG238">
        <v>0</v>
      </c>
      <c r="AH238">
        <v>0</v>
      </c>
      <c r="AI238">
        <v>5</v>
      </c>
      <c r="AJ238">
        <v>1</v>
      </c>
      <c r="AK238">
        <v>14340.693727272699</v>
      </c>
      <c r="AL238">
        <v>5</v>
      </c>
      <c r="AM238">
        <v>1</v>
      </c>
      <c r="AN238">
        <v>2017</v>
      </c>
      <c r="AO238" t="s">
        <v>59</v>
      </c>
      <c r="AP238">
        <v>3.5092427195981053E-2</v>
      </c>
      <c r="AQ238">
        <v>520.6623066776433</v>
      </c>
      <c r="AR238">
        <v>-403.19730667764333</v>
      </c>
    </row>
    <row r="239" spans="1:44" x14ac:dyDescent="0.25">
      <c r="A239" s="1">
        <v>1311</v>
      </c>
      <c r="B239">
        <v>1879</v>
      </c>
      <c r="C239">
        <v>1879</v>
      </c>
      <c r="D239">
        <v>1879</v>
      </c>
      <c r="E239">
        <v>5844</v>
      </c>
      <c r="F239">
        <v>4296702445</v>
      </c>
      <c r="G239" s="2">
        <v>42735</v>
      </c>
      <c r="H239" t="s">
        <v>114</v>
      </c>
      <c r="I239" t="s">
        <v>100</v>
      </c>
      <c r="J239" t="s">
        <v>46</v>
      </c>
      <c r="K239">
        <v>72.802000000000007</v>
      </c>
      <c r="L239">
        <v>73.664000000000001</v>
      </c>
      <c r="M239">
        <v>5375.5360000000001</v>
      </c>
      <c r="N239">
        <v>1.370356370043843E-2</v>
      </c>
      <c r="O239">
        <v>4.9259598095336551E-3</v>
      </c>
      <c r="P239">
        <v>14954.243</v>
      </c>
      <c r="Q239">
        <v>2016</v>
      </c>
      <c r="R239">
        <v>0</v>
      </c>
      <c r="S239">
        <v>0</v>
      </c>
      <c r="T239">
        <v>4296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5</v>
      </c>
      <c r="AJ239">
        <v>1</v>
      </c>
      <c r="AK239">
        <v>14340.693727272699</v>
      </c>
      <c r="AL239">
        <v>5</v>
      </c>
      <c r="AM239">
        <v>1</v>
      </c>
      <c r="AN239">
        <v>2016</v>
      </c>
      <c r="AO239" t="s">
        <v>62</v>
      </c>
      <c r="AP239">
        <v>3.5494312143141332E-2</v>
      </c>
      <c r="AQ239">
        <v>530.79056890638628</v>
      </c>
      <c r="AR239">
        <v>-457.98856890638632</v>
      </c>
    </row>
    <row r="240" spans="1:44" x14ac:dyDescent="0.25">
      <c r="A240" s="1">
        <v>1312</v>
      </c>
      <c r="B240">
        <v>1880</v>
      </c>
      <c r="C240">
        <v>1880</v>
      </c>
      <c r="D240">
        <v>1880</v>
      </c>
      <c r="E240">
        <v>5845</v>
      </c>
      <c r="F240">
        <v>4296702445</v>
      </c>
      <c r="G240" s="2">
        <v>42369</v>
      </c>
      <c r="H240" t="s">
        <v>114</v>
      </c>
      <c r="I240" t="s">
        <v>100</v>
      </c>
      <c r="J240" t="s">
        <v>46</v>
      </c>
      <c r="K240">
        <v>478.6</v>
      </c>
      <c r="L240">
        <v>84.72</v>
      </c>
      <c r="M240">
        <v>4858.4949999999999</v>
      </c>
      <c r="N240">
        <v>1.7437498649273079E-2</v>
      </c>
      <c r="O240">
        <v>7.4349370606074617E-3</v>
      </c>
      <c r="P240">
        <v>11394.851000000001</v>
      </c>
      <c r="Q240">
        <v>2015</v>
      </c>
      <c r="R240">
        <v>0</v>
      </c>
      <c r="S240">
        <v>0</v>
      </c>
      <c r="T240">
        <v>4296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5</v>
      </c>
      <c r="AJ240">
        <v>1</v>
      </c>
      <c r="AK240">
        <v>14340.693727272699</v>
      </c>
      <c r="AL240">
        <v>5</v>
      </c>
      <c r="AM240">
        <v>1</v>
      </c>
      <c r="AN240">
        <v>2015</v>
      </c>
      <c r="AO240" t="s">
        <v>62</v>
      </c>
      <c r="AP240">
        <v>3.5494312143141332E-2</v>
      </c>
      <c r="AQ240">
        <v>404.45239821858621</v>
      </c>
      <c r="AR240">
        <v>74.147601781413869</v>
      </c>
    </row>
    <row r="241" spans="1:44" x14ac:dyDescent="0.25">
      <c r="A241" s="1">
        <v>1313</v>
      </c>
      <c r="B241">
        <v>1881</v>
      </c>
      <c r="C241">
        <v>1881</v>
      </c>
      <c r="D241">
        <v>1881</v>
      </c>
      <c r="E241">
        <v>5846</v>
      </c>
      <c r="F241">
        <v>4296702445</v>
      </c>
      <c r="G241" s="2">
        <v>42004</v>
      </c>
      <c r="H241" t="s">
        <v>114</v>
      </c>
      <c r="I241" t="s">
        <v>100</v>
      </c>
      <c r="J241" t="s">
        <v>46</v>
      </c>
      <c r="K241">
        <v>343.29500000000002</v>
      </c>
      <c r="L241">
        <v>142.88800000000001</v>
      </c>
      <c r="M241">
        <v>5034.3720000000003</v>
      </c>
      <c r="N241">
        <v>2.838248742842206E-2</v>
      </c>
      <c r="O241">
        <v>1.212388306029114E-2</v>
      </c>
      <c r="P241">
        <v>11785.663</v>
      </c>
      <c r="Q241">
        <v>2014</v>
      </c>
      <c r="R241">
        <v>0</v>
      </c>
      <c r="S241">
        <v>0</v>
      </c>
      <c r="T241">
        <v>4296</v>
      </c>
      <c r="U241" t="s">
        <v>117</v>
      </c>
      <c r="V241">
        <v>0</v>
      </c>
      <c r="W241">
        <v>0</v>
      </c>
      <c r="X241">
        <v>500000000</v>
      </c>
      <c r="Y241" t="s">
        <v>115</v>
      </c>
      <c r="Z241">
        <v>0</v>
      </c>
      <c r="AA241">
        <v>1</v>
      </c>
      <c r="AB241">
        <v>0</v>
      </c>
      <c r="AC241">
        <v>0</v>
      </c>
      <c r="AD241">
        <v>1</v>
      </c>
      <c r="AE241" t="s">
        <v>116</v>
      </c>
      <c r="AF241">
        <v>0</v>
      </c>
      <c r="AG241">
        <v>0</v>
      </c>
      <c r="AH241">
        <v>0</v>
      </c>
      <c r="AI241">
        <v>5</v>
      </c>
      <c r="AJ241">
        <v>1</v>
      </c>
      <c r="AK241">
        <v>14340.693727272699</v>
      </c>
      <c r="AL241">
        <v>5</v>
      </c>
      <c r="AM241">
        <v>1</v>
      </c>
      <c r="AN241">
        <v>2014</v>
      </c>
      <c r="AO241" t="s">
        <v>62</v>
      </c>
      <c r="AP241">
        <v>3.5494312143141332E-2</v>
      </c>
      <c r="AQ241">
        <v>418.32400133587151</v>
      </c>
      <c r="AR241">
        <v>-75.029001335871499</v>
      </c>
    </row>
    <row r="242" spans="1:44" x14ac:dyDescent="0.25">
      <c r="A242" s="1">
        <v>1314</v>
      </c>
      <c r="B242">
        <v>1882</v>
      </c>
      <c r="C242">
        <v>1882</v>
      </c>
      <c r="D242">
        <v>1882</v>
      </c>
      <c r="E242">
        <v>5847</v>
      </c>
      <c r="F242">
        <v>4296702445</v>
      </c>
      <c r="G242" s="2">
        <v>41639</v>
      </c>
      <c r="H242" t="s">
        <v>114</v>
      </c>
      <c r="I242" t="s">
        <v>100</v>
      </c>
      <c r="J242" t="s">
        <v>46</v>
      </c>
      <c r="K242">
        <v>340.84699999999998</v>
      </c>
      <c r="L242">
        <v>193.78800000000001</v>
      </c>
      <c r="M242">
        <v>5194.2120000000004</v>
      </c>
      <c r="N242">
        <v>3.7308450251934272E-2</v>
      </c>
      <c r="O242">
        <v>1.8078518805575879E-2</v>
      </c>
      <c r="P242">
        <v>10719.241</v>
      </c>
      <c r="Q242">
        <v>2013</v>
      </c>
      <c r="R242">
        <v>0</v>
      </c>
      <c r="S242">
        <v>0</v>
      </c>
      <c r="T242">
        <v>4296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5</v>
      </c>
      <c r="AJ242">
        <v>1</v>
      </c>
      <c r="AK242">
        <v>14340.693727272699</v>
      </c>
      <c r="AL242">
        <v>5</v>
      </c>
      <c r="AM242">
        <v>1</v>
      </c>
      <c r="AN242">
        <v>2013</v>
      </c>
      <c r="AO242" t="s">
        <v>62</v>
      </c>
      <c r="AP242">
        <v>3.5494312143141332E-2</v>
      </c>
      <c r="AQ242">
        <v>380.47208599155852</v>
      </c>
      <c r="AR242">
        <v>-39.625085991558478</v>
      </c>
    </row>
    <row r="243" spans="1:44" x14ac:dyDescent="0.25">
      <c r="A243" s="1">
        <v>867</v>
      </c>
      <c r="B243">
        <v>2118</v>
      </c>
      <c r="C243">
        <v>2118</v>
      </c>
      <c r="D243">
        <v>2118</v>
      </c>
      <c r="E243">
        <v>187</v>
      </c>
      <c r="F243" t="s">
        <v>118</v>
      </c>
      <c r="G243" s="2">
        <v>45291</v>
      </c>
      <c r="H243" t="s">
        <v>119</v>
      </c>
      <c r="I243" t="s">
        <v>100</v>
      </c>
      <c r="J243" t="s">
        <v>46</v>
      </c>
      <c r="K243">
        <v>-28783000</v>
      </c>
      <c r="L243">
        <v>-29296000</v>
      </c>
      <c r="M243">
        <v>357881000</v>
      </c>
      <c r="N243">
        <v>-8.1859612552775921E-2</v>
      </c>
      <c r="O243">
        <v>-5.2247669935118438E-2</v>
      </c>
      <c r="P243">
        <v>560714000</v>
      </c>
      <c r="Q243">
        <v>2023</v>
      </c>
      <c r="R243">
        <v>0</v>
      </c>
      <c r="S243">
        <v>0</v>
      </c>
      <c r="T243" t="s">
        <v>120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1</v>
      </c>
      <c r="AJ243">
        <v>1</v>
      </c>
      <c r="AK243">
        <v>1427352090.90909</v>
      </c>
      <c r="AL243">
        <v>9</v>
      </c>
      <c r="AM243">
        <v>1</v>
      </c>
      <c r="AN243">
        <v>2023</v>
      </c>
      <c r="AO243" t="s">
        <v>48</v>
      </c>
      <c r="AP243">
        <v>3.4062668681992411E-2</v>
      </c>
      <c r="AQ243">
        <v>19099415.207354691</v>
      </c>
      <c r="AR243">
        <v>-47882415.207354687</v>
      </c>
    </row>
    <row r="244" spans="1:44" x14ac:dyDescent="0.25">
      <c r="A244" s="1">
        <v>868</v>
      </c>
      <c r="B244">
        <v>2119</v>
      </c>
      <c r="C244">
        <v>2119</v>
      </c>
      <c r="D244">
        <v>2119</v>
      </c>
      <c r="E244">
        <v>188</v>
      </c>
      <c r="F244" t="s">
        <v>118</v>
      </c>
      <c r="G244" s="2">
        <v>44926</v>
      </c>
      <c r="H244" t="s">
        <v>119</v>
      </c>
      <c r="I244" t="s">
        <v>100</v>
      </c>
      <c r="J244" t="s">
        <v>46</v>
      </c>
      <c r="K244">
        <v>73694000</v>
      </c>
      <c r="L244">
        <v>75233000</v>
      </c>
      <c r="M244">
        <v>503708000</v>
      </c>
      <c r="N244">
        <v>0.1493583584140018</v>
      </c>
      <c r="O244">
        <v>0.10625949842658031</v>
      </c>
      <c r="P244">
        <v>708012000</v>
      </c>
      <c r="Q244">
        <v>2022</v>
      </c>
      <c r="R244">
        <v>0</v>
      </c>
      <c r="S244">
        <v>0</v>
      </c>
      <c r="T244" t="s">
        <v>120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1</v>
      </c>
      <c r="AJ244">
        <v>1</v>
      </c>
      <c r="AK244">
        <v>1427352090.90909</v>
      </c>
      <c r="AL244">
        <v>9</v>
      </c>
      <c r="AM244">
        <v>1</v>
      </c>
      <c r="AN244">
        <v>2022</v>
      </c>
      <c r="AO244" t="s">
        <v>48</v>
      </c>
      <c r="AP244">
        <v>3.4062668681992411E-2</v>
      </c>
      <c r="AQ244">
        <v>24116778.178874809</v>
      </c>
      <c r="AR244">
        <v>49577221.821125187</v>
      </c>
    </row>
    <row r="245" spans="1:44" x14ac:dyDescent="0.25">
      <c r="A245" s="1">
        <v>869</v>
      </c>
      <c r="B245">
        <v>2120</v>
      </c>
      <c r="C245">
        <v>2120</v>
      </c>
      <c r="D245">
        <v>2120</v>
      </c>
      <c r="E245">
        <v>189</v>
      </c>
      <c r="F245" t="s">
        <v>118</v>
      </c>
      <c r="G245" s="2">
        <v>44561</v>
      </c>
      <c r="H245" t="s">
        <v>119</v>
      </c>
      <c r="I245" t="s">
        <v>100</v>
      </c>
      <c r="J245" t="s">
        <v>46</v>
      </c>
      <c r="K245">
        <v>39052000</v>
      </c>
      <c r="L245">
        <v>26100000</v>
      </c>
      <c r="M245">
        <v>483582000</v>
      </c>
      <c r="N245">
        <v>5.3972232217080043E-2</v>
      </c>
      <c r="O245">
        <v>3.5936256516028123E-2</v>
      </c>
      <c r="P245">
        <v>726286000</v>
      </c>
      <c r="Q245">
        <v>2021</v>
      </c>
      <c r="R245">
        <v>0</v>
      </c>
      <c r="S245">
        <v>0</v>
      </c>
      <c r="T245" t="s">
        <v>120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1</v>
      </c>
      <c r="AJ245">
        <v>1</v>
      </c>
      <c r="AK245">
        <v>1427352090.90909</v>
      </c>
      <c r="AL245">
        <v>9</v>
      </c>
      <c r="AM245">
        <v>1</v>
      </c>
      <c r="AN245">
        <v>2021</v>
      </c>
      <c r="AO245" t="s">
        <v>48</v>
      </c>
      <c r="AP245">
        <v>3.4062668681992411E-2</v>
      </c>
      <c r="AQ245">
        <v>24739239.386369541</v>
      </c>
      <c r="AR245">
        <v>14312760.613630461</v>
      </c>
    </row>
    <row r="246" spans="1:44" x14ac:dyDescent="0.25">
      <c r="A246" s="1">
        <v>870</v>
      </c>
      <c r="B246">
        <v>2121</v>
      </c>
      <c r="C246">
        <v>2121</v>
      </c>
      <c r="D246">
        <v>2121</v>
      </c>
      <c r="E246">
        <v>190</v>
      </c>
      <c r="F246" t="s">
        <v>118</v>
      </c>
      <c r="G246" s="2">
        <v>44196</v>
      </c>
      <c r="H246" t="s">
        <v>119</v>
      </c>
      <c r="I246" t="s">
        <v>100</v>
      </c>
      <c r="J246" t="s">
        <v>46</v>
      </c>
      <c r="K246">
        <v>-90816000</v>
      </c>
      <c r="L246">
        <v>-160448000</v>
      </c>
      <c r="M246">
        <v>462580000</v>
      </c>
      <c r="N246">
        <v>-0.34685459812356778</v>
      </c>
      <c r="O246">
        <v>-0.22815442172904671</v>
      </c>
      <c r="P246">
        <v>703243000</v>
      </c>
      <c r="Q246">
        <v>2020</v>
      </c>
      <c r="R246">
        <v>0</v>
      </c>
      <c r="S246">
        <v>0</v>
      </c>
      <c r="T246" t="s">
        <v>120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1</v>
      </c>
      <c r="AJ246">
        <v>1</v>
      </c>
      <c r="AK246">
        <v>1427352090.90909</v>
      </c>
      <c r="AL246">
        <v>9</v>
      </c>
      <c r="AM246">
        <v>1</v>
      </c>
      <c r="AN246">
        <v>2020</v>
      </c>
      <c r="AO246" t="s">
        <v>48</v>
      </c>
      <c r="AP246">
        <v>3.4062668681992411E-2</v>
      </c>
      <c r="AQ246">
        <v>23954333.311930388</v>
      </c>
      <c r="AR246">
        <v>-114770333.3119304</v>
      </c>
    </row>
    <row r="247" spans="1:44" x14ac:dyDescent="0.25">
      <c r="A247" s="1">
        <v>1089</v>
      </c>
      <c r="B247">
        <v>2122</v>
      </c>
      <c r="C247">
        <v>2122</v>
      </c>
      <c r="D247">
        <v>2122</v>
      </c>
      <c r="E247">
        <v>191</v>
      </c>
      <c r="F247" t="s">
        <v>118</v>
      </c>
      <c r="G247" s="2">
        <v>43830</v>
      </c>
      <c r="H247" t="s">
        <v>119</v>
      </c>
      <c r="I247" t="s">
        <v>100</v>
      </c>
      <c r="J247" t="s">
        <v>46</v>
      </c>
      <c r="K247">
        <v>-109393000</v>
      </c>
      <c r="L247">
        <v>-127065000</v>
      </c>
      <c r="M247">
        <v>660207000</v>
      </c>
      <c r="N247">
        <v>-0.1924623640767214</v>
      </c>
      <c r="O247">
        <v>-0.1039713938540972</v>
      </c>
      <c r="P247">
        <v>1222115000</v>
      </c>
      <c r="Q247">
        <v>2019</v>
      </c>
      <c r="R247">
        <v>0</v>
      </c>
      <c r="S247">
        <v>0</v>
      </c>
      <c r="T247" t="s">
        <v>120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1</v>
      </c>
      <c r="AJ247">
        <v>1</v>
      </c>
      <c r="AK247">
        <v>1427352090.90909</v>
      </c>
      <c r="AL247">
        <v>9</v>
      </c>
      <c r="AM247">
        <v>1</v>
      </c>
      <c r="AN247">
        <v>2019</v>
      </c>
      <c r="AO247" t="s">
        <v>59</v>
      </c>
      <c r="AP247">
        <v>3.5092427195981053E-2</v>
      </c>
      <c r="AQ247">
        <v>42886981.662616387</v>
      </c>
      <c r="AR247">
        <v>-152279981.6626164</v>
      </c>
    </row>
    <row r="248" spans="1:44" x14ac:dyDescent="0.25">
      <c r="A248" s="1">
        <v>1090</v>
      </c>
      <c r="B248">
        <v>2123</v>
      </c>
      <c r="C248">
        <v>2123</v>
      </c>
      <c r="D248">
        <v>2123</v>
      </c>
      <c r="E248">
        <v>192</v>
      </c>
      <c r="F248" t="s">
        <v>118</v>
      </c>
      <c r="G248" s="2">
        <v>43465</v>
      </c>
      <c r="H248" t="s">
        <v>119</v>
      </c>
      <c r="I248" t="s">
        <v>100</v>
      </c>
      <c r="J248" t="s">
        <v>46</v>
      </c>
      <c r="K248">
        <v>-350840000</v>
      </c>
      <c r="L248">
        <v>-225371000</v>
      </c>
      <c r="M248">
        <v>776470000</v>
      </c>
      <c r="N248">
        <v>-0.29025075018996233</v>
      </c>
      <c r="O248">
        <v>-0.15163907678002039</v>
      </c>
      <c r="P248">
        <v>1486233000</v>
      </c>
      <c r="Q248">
        <v>2018</v>
      </c>
      <c r="R248">
        <v>0</v>
      </c>
      <c r="S248">
        <v>0</v>
      </c>
      <c r="T248" t="s">
        <v>120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1</v>
      </c>
      <c r="AJ248">
        <v>1</v>
      </c>
      <c r="AK248">
        <v>1427352090.90909</v>
      </c>
      <c r="AL248">
        <v>9</v>
      </c>
      <c r="AM248">
        <v>1</v>
      </c>
      <c r="AN248">
        <v>2018</v>
      </c>
      <c r="AO248" t="s">
        <v>59</v>
      </c>
      <c r="AP248">
        <v>3.5092427195981053E-2</v>
      </c>
      <c r="AQ248">
        <v>52155523.348764509</v>
      </c>
      <c r="AR248">
        <v>-402995523.34876448</v>
      </c>
    </row>
    <row r="249" spans="1:44" x14ac:dyDescent="0.25">
      <c r="A249" s="1">
        <v>1091</v>
      </c>
      <c r="B249">
        <v>2124</v>
      </c>
      <c r="C249">
        <v>2124</v>
      </c>
      <c r="D249">
        <v>2124</v>
      </c>
      <c r="E249">
        <v>193</v>
      </c>
      <c r="F249" t="s">
        <v>118</v>
      </c>
      <c r="G249" s="2">
        <v>43100</v>
      </c>
      <c r="H249" t="s">
        <v>119</v>
      </c>
      <c r="I249" t="s">
        <v>100</v>
      </c>
      <c r="J249" t="s">
        <v>46</v>
      </c>
      <c r="K249">
        <v>-386530000</v>
      </c>
      <c r="L249">
        <v>-358654000</v>
      </c>
      <c r="M249">
        <v>981754000</v>
      </c>
      <c r="N249">
        <v>-0.36531962181972272</v>
      </c>
      <c r="O249">
        <v>-0.22181540884023351</v>
      </c>
      <c r="P249">
        <v>1616903000</v>
      </c>
      <c r="Q249">
        <v>2017</v>
      </c>
      <c r="R249">
        <v>0</v>
      </c>
      <c r="S249">
        <v>0</v>
      </c>
      <c r="T249" t="s">
        <v>120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1</v>
      </c>
      <c r="AJ249">
        <v>1</v>
      </c>
      <c r="AK249">
        <v>1427352090.90909</v>
      </c>
      <c r="AL249">
        <v>9</v>
      </c>
      <c r="AM249">
        <v>1</v>
      </c>
      <c r="AN249">
        <v>2017</v>
      </c>
      <c r="AO249" t="s">
        <v>59</v>
      </c>
      <c r="AP249">
        <v>3.5092427195981053E-2</v>
      </c>
      <c r="AQ249">
        <v>56741050.810463347</v>
      </c>
      <c r="AR249">
        <v>-443271050.81046343</v>
      </c>
    </row>
    <row r="250" spans="1:44" x14ac:dyDescent="0.25">
      <c r="A250" s="1">
        <v>1343</v>
      </c>
      <c r="B250">
        <v>2125</v>
      </c>
      <c r="C250">
        <v>2125</v>
      </c>
      <c r="D250">
        <v>2125</v>
      </c>
      <c r="E250">
        <v>194</v>
      </c>
      <c r="F250" t="s">
        <v>118</v>
      </c>
      <c r="G250" s="2">
        <v>42735</v>
      </c>
      <c r="H250" t="s">
        <v>119</v>
      </c>
      <c r="I250" t="s">
        <v>100</v>
      </c>
      <c r="J250" t="s">
        <v>46</v>
      </c>
      <c r="K250">
        <v>21095000</v>
      </c>
      <c r="L250">
        <v>-151000</v>
      </c>
      <c r="M250">
        <v>946811000</v>
      </c>
      <c r="N250">
        <v>-1.5948272675328021E-4</v>
      </c>
      <c r="O250">
        <v>-8.435136869871535E-5</v>
      </c>
      <c r="P250">
        <v>1790131000</v>
      </c>
      <c r="Q250">
        <v>2016</v>
      </c>
      <c r="R250">
        <v>0</v>
      </c>
      <c r="S250">
        <v>0</v>
      </c>
      <c r="T250" t="s">
        <v>120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1</v>
      </c>
      <c r="AJ250">
        <v>1</v>
      </c>
      <c r="AK250">
        <v>1427352090.90909</v>
      </c>
      <c r="AL250">
        <v>9</v>
      </c>
      <c r="AM250">
        <v>1</v>
      </c>
      <c r="AN250">
        <v>2016</v>
      </c>
      <c r="AO250" t="s">
        <v>62</v>
      </c>
      <c r="AP250">
        <v>3.5494312143141332E-2</v>
      </c>
      <c r="AQ250">
        <v>63539468.491113737</v>
      </c>
      <c r="AR250">
        <v>-42444468.491113737</v>
      </c>
    </row>
    <row r="251" spans="1:44" x14ac:dyDescent="0.25">
      <c r="A251" s="1">
        <v>1344</v>
      </c>
      <c r="B251">
        <v>2126</v>
      </c>
      <c r="C251">
        <v>2126</v>
      </c>
      <c r="D251">
        <v>2126</v>
      </c>
      <c r="E251">
        <v>195</v>
      </c>
      <c r="F251" t="s">
        <v>118</v>
      </c>
      <c r="G251" s="2">
        <v>42369</v>
      </c>
      <c r="H251" t="s">
        <v>119</v>
      </c>
      <c r="I251" t="s">
        <v>100</v>
      </c>
      <c r="J251" t="s">
        <v>46</v>
      </c>
      <c r="K251">
        <v>53826000</v>
      </c>
      <c r="L251">
        <v>45610000</v>
      </c>
      <c r="M251">
        <v>932990000</v>
      </c>
      <c r="N251">
        <v>4.8885840148340277E-2</v>
      </c>
      <c r="O251">
        <v>2.3870045630986159E-2</v>
      </c>
      <c r="P251">
        <v>1910763000</v>
      </c>
      <c r="Q251">
        <v>2015</v>
      </c>
      <c r="R251">
        <v>0</v>
      </c>
      <c r="S251">
        <v>0</v>
      </c>
      <c r="T251" t="s">
        <v>120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1</v>
      </c>
      <c r="AJ251">
        <v>1</v>
      </c>
      <c r="AK251">
        <v>1427352090.90909</v>
      </c>
      <c r="AL251">
        <v>9</v>
      </c>
      <c r="AM251">
        <v>1</v>
      </c>
      <c r="AN251">
        <v>2015</v>
      </c>
      <c r="AO251" t="s">
        <v>62</v>
      </c>
      <c r="AP251">
        <v>3.5494312143141332E-2</v>
      </c>
      <c r="AQ251">
        <v>67821218.353565156</v>
      </c>
      <c r="AR251">
        <v>-13995218.35356516</v>
      </c>
    </row>
    <row r="252" spans="1:44" x14ac:dyDescent="0.25">
      <c r="A252" s="1">
        <v>1345</v>
      </c>
      <c r="B252">
        <v>2127</v>
      </c>
      <c r="C252">
        <v>2127</v>
      </c>
      <c r="D252">
        <v>2127</v>
      </c>
      <c r="E252">
        <v>196</v>
      </c>
      <c r="F252" t="s">
        <v>118</v>
      </c>
      <c r="G252" s="2">
        <v>42004</v>
      </c>
      <c r="H252" t="s">
        <v>119</v>
      </c>
      <c r="I252" t="s">
        <v>100</v>
      </c>
      <c r="J252" t="s">
        <v>46</v>
      </c>
      <c r="K252">
        <v>6489000</v>
      </c>
      <c r="L252">
        <v>-178000</v>
      </c>
      <c r="M252">
        <v>1233470000</v>
      </c>
      <c r="N252">
        <v>-1.443083334008934E-4</v>
      </c>
      <c r="O252">
        <v>-7.3388866991336819E-5</v>
      </c>
      <c r="P252">
        <v>2425436000</v>
      </c>
      <c r="Q252">
        <v>2014</v>
      </c>
      <c r="R252">
        <v>0</v>
      </c>
      <c r="S252">
        <v>0</v>
      </c>
      <c r="T252" t="s">
        <v>120</v>
      </c>
      <c r="U252">
        <v>0</v>
      </c>
      <c r="V252">
        <v>0</v>
      </c>
      <c r="W252">
        <v>0</v>
      </c>
      <c r="X252">
        <v>300000000</v>
      </c>
      <c r="Y252" t="s">
        <v>132</v>
      </c>
      <c r="Z252">
        <v>0</v>
      </c>
      <c r="AA252">
        <v>1</v>
      </c>
      <c r="AB252">
        <v>0</v>
      </c>
      <c r="AC252">
        <v>0</v>
      </c>
      <c r="AD252">
        <v>1</v>
      </c>
      <c r="AE252" t="s">
        <v>120</v>
      </c>
      <c r="AF252">
        <v>0</v>
      </c>
      <c r="AG252">
        <v>0</v>
      </c>
      <c r="AH252">
        <v>0</v>
      </c>
      <c r="AI252">
        <v>1</v>
      </c>
      <c r="AJ252">
        <v>1</v>
      </c>
      <c r="AK252">
        <v>1427352090.90909</v>
      </c>
      <c r="AL252">
        <v>9</v>
      </c>
      <c r="AM252">
        <v>1</v>
      </c>
      <c r="AN252">
        <v>2014</v>
      </c>
      <c r="AO252" t="s">
        <v>62</v>
      </c>
      <c r="AP252">
        <v>3.5494312143141332E-2</v>
      </c>
      <c r="AQ252">
        <v>86089182.467212141</v>
      </c>
      <c r="AR252">
        <v>-79600182.467212141</v>
      </c>
    </row>
    <row r="253" spans="1:44" x14ac:dyDescent="0.25">
      <c r="A253" s="1">
        <v>1346</v>
      </c>
      <c r="B253">
        <v>2128</v>
      </c>
      <c r="C253">
        <v>2128</v>
      </c>
      <c r="D253">
        <v>2128</v>
      </c>
      <c r="E253">
        <v>197</v>
      </c>
      <c r="F253" t="s">
        <v>118</v>
      </c>
      <c r="G253" s="2">
        <v>41639</v>
      </c>
      <c r="H253" t="s">
        <v>119</v>
      </c>
      <c r="I253" t="s">
        <v>100</v>
      </c>
      <c r="J253" t="s">
        <v>46</v>
      </c>
      <c r="K253">
        <v>90133000</v>
      </c>
      <c r="L253">
        <v>54912000</v>
      </c>
      <c r="M253">
        <v>1308728000</v>
      </c>
      <c r="N253">
        <v>4.1958298439400701E-2</v>
      </c>
      <c r="O253">
        <v>2.152536399903255E-2</v>
      </c>
      <c r="P253">
        <v>2551037000</v>
      </c>
      <c r="Q253">
        <v>2013</v>
      </c>
      <c r="R253">
        <v>0</v>
      </c>
      <c r="S253">
        <v>0</v>
      </c>
      <c r="T253" t="s">
        <v>120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1</v>
      </c>
      <c r="AJ253">
        <v>1</v>
      </c>
      <c r="AK253">
        <v>1427352090.90909</v>
      </c>
      <c r="AL253">
        <v>9</v>
      </c>
      <c r="AM253">
        <v>1</v>
      </c>
      <c r="AN253">
        <v>2013</v>
      </c>
      <c r="AO253" t="s">
        <v>62</v>
      </c>
      <c r="AP253">
        <v>3.5494312143141332E-2</v>
      </c>
      <c r="AQ253">
        <v>90547303.566702828</v>
      </c>
      <c r="AR253">
        <v>-414303.56670282781</v>
      </c>
    </row>
    <row r="254" spans="1:44" x14ac:dyDescent="0.25">
      <c r="A254" s="1">
        <v>875</v>
      </c>
      <c r="B254">
        <v>2162</v>
      </c>
      <c r="C254">
        <v>2162</v>
      </c>
      <c r="D254">
        <v>2162</v>
      </c>
      <c r="E254">
        <v>2674</v>
      </c>
      <c r="F254" t="s">
        <v>121</v>
      </c>
      <c r="G254" s="2">
        <v>45291</v>
      </c>
      <c r="H254" t="s">
        <v>122</v>
      </c>
      <c r="I254" t="s">
        <v>100</v>
      </c>
      <c r="J254" t="s">
        <v>46</v>
      </c>
      <c r="K254">
        <v>26570000</v>
      </c>
      <c r="L254">
        <v>24816000</v>
      </c>
      <c r="M254">
        <v>862857000</v>
      </c>
      <c r="N254">
        <v>2.8760269662296299E-2</v>
      </c>
      <c r="O254">
        <v>1.260347997440299E-2</v>
      </c>
      <c r="P254">
        <v>1968980000</v>
      </c>
      <c r="Q254">
        <v>2023</v>
      </c>
      <c r="R254">
        <v>0</v>
      </c>
      <c r="S254">
        <v>0</v>
      </c>
      <c r="T254" t="s">
        <v>123</v>
      </c>
      <c r="U254">
        <v>0</v>
      </c>
      <c r="V254">
        <v>0</v>
      </c>
      <c r="W254">
        <v>0</v>
      </c>
      <c r="X254">
        <v>0</v>
      </c>
      <c r="Y254" t="s">
        <v>124</v>
      </c>
      <c r="Z254">
        <v>0</v>
      </c>
      <c r="AA254">
        <v>1</v>
      </c>
      <c r="AB254">
        <v>0</v>
      </c>
      <c r="AC254">
        <v>0</v>
      </c>
      <c r="AD254">
        <v>0</v>
      </c>
      <c r="AE254" t="s">
        <v>123</v>
      </c>
      <c r="AF254">
        <v>0</v>
      </c>
      <c r="AG254">
        <v>0</v>
      </c>
      <c r="AH254">
        <v>0</v>
      </c>
      <c r="AI254">
        <v>2</v>
      </c>
      <c r="AJ254">
        <v>1</v>
      </c>
      <c r="AK254">
        <v>1554297181.8181801</v>
      </c>
      <c r="AL254">
        <v>9</v>
      </c>
      <c r="AM254">
        <v>1</v>
      </c>
      <c r="AN254">
        <v>2023</v>
      </c>
      <c r="AO254" t="s">
        <v>48</v>
      </c>
      <c r="AP254">
        <v>3.4062668681992411E-2</v>
      </c>
      <c r="AQ254">
        <v>67068713.381469421</v>
      </c>
      <c r="AR254">
        <v>-40498713.381469421</v>
      </c>
    </row>
    <row r="255" spans="1:44" x14ac:dyDescent="0.25">
      <c r="A255" s="1">
        <v>876</v>
      </c>
      <c r="B255">
        <v>2163</v>
      </c>
      <c r="C255">
        <v>2163</v>
      </c>
      <c r="D255">
        <v>2163</v>
      </c>
      <c r="E255">
        <v>2675</v>
      </c>
      <c r="F255" t="s">
        <v>121</v>
      </c>
      <c r="G255" s="2">
        <v>44926</v>
      </c>
      <c r="H255" t="s">
        <v>122</v>
      </c>
      <c r="I255" t="s">
        <v>100</v>
      </c>
      <c r="J255" t="s">
        <v>46</v>
      </c>
      <c r="K255">
        <v>128329000</v>
      </c>
      <c r="L255">
        <v>91106000</v>
      </c>
      <c r="M255">
        <v>845915000</v>
      </c>
      <c r="N255">
        <v>0.1077011283639609</v>
      </c>
      <c r="O255">
        <v>4.6132119562933283E-2</v>
      </c>
      <c r="P255">
        <v>1974893000</v>
      </c>
      <c r="Q255">
        <v>2022</v>
      </c>
      <c r="R255">
        <v>0</v>
      </c>
      <c r="S255">
        <v>0</v>
      </c>
      <c r="T255" t="s">
        <v>123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2</v>
      </c>
      <c r="AJ255">
        <v>1</v>
      </c>
      <c r="AK255">
        <v>1554297181.8181801</v>
      </c>
      <c r="AL255">
        <v>9</v>
      </c>
      <c r="AM255">
        <v>1</v>
      </c>
      <c r="AN255">
        <v>2022</v>
      </c>
      <c r="AO255" t="s">
        <v>48</v>
      </c>
      <c r="AP255">
        <v>3.4062668681992411E-2</v>
      </c>
      <c r="AQ255">
        <v>67270125.941386044</v>
      </c>
      <c r="AR255">
        <v>61058874.058613963</v>
      </c>
    </row>
    <row r="256" spans="1:44" x14ac:dyDescent="0.25">
      <c r="A256" s="1">
        <v>877</v>
      </c>
      <c r="B256">
        <v>2164</v>
      </c>
      <c r="C256">
        <v>2164</v>
      </c>
      <c r="D256">
        <v>2164</v>
      </c>
      <c r="E256">
        <v>2676</v>
      </c>
      <c r="F256" t="s">
        <v>121</v>
      </c>
      <c r="G256" s="2">
        <v>44561</v>
      </c>
      <c r="H256" t="s">
        <v>122</v>
      </c>
      <c r="I256" t="s">
        <v>100</v>
      </c>
      <c r="J256" t="s">
        <v>46</v>
      </c>
      <c r="K256">
        <v>137953000</v>
      </c>
      <c r="L256">
        <v>98481000</v>
      </c>
      <c r="M256">
        <v>790401000</v>
      </c>
      <c r="N256">
        <v>0.1245962492456361</v>
      </c>
      <c r="O256">
        <v>5.6342403635901782E-2</v>
      </c>
      <c r="P256">
        <v>1747902000</v>
      </c>
      <c r="Q256">
        <v>2021</v>
      </c>
      <c r="R256">
        <v>0</v>
      </c>
      <c r="S256">
        <v>0</v>
      </c>
      <c r="T256" t="s">
        <v>123</v>
      </c>
      <c r="U256">
        <v>0</v>
      </c>
      <c r="V256">
        <v>0</v>
      </c>
      <c r="W256">
        <v>0</v>
      </c>
      <c r="X256">
        <v>0</v>
      </c>
      <c r="Y256" t="s">
        <v>124</v>
      </c>
      <c r="Z256">
        <v>0</v>
      </c>
      <c r="AA256">
        <v>1</v>
      </c>
      <c r="AB256">
        <v>0</v>
      </c>
      <c r="AC256">
        <v>0</v>
      </c>
      <c r="AD256">
        <v>0</v>
      </c>
      <c r="AE256" t="s">
        <v>123</v>
      </c>
      <c r="AF256">
        <v>0</v>
      </c>
      <c r="AG256">
        <v>0</v>
      </c>
      <c r="AH256">
        <v>0</v>
      </c>
      <c r="AI256">
        <v>2</v>
      </c>
      <c r="AJ256">
        <v>1</v>
      </c>
      <c r="AK256">
        <v>1554297181.8181801</v>
      </c>
      <c r="AL256">
        <v>9</v>
      </c>
      <c r="AM256">
        <v>1</v>
      </c>
      <c r="AN256">
        <v>2021</v>
      </c>
      <c r="AO256" t="s">
        <v>48</v>
      </c>
      <c r="AP256">
        <v>3.4062668681992411E-2</v>
      </c>
      <c r="AQ256">
        <v>59538206.714591898</v>
      </c>
      <c r="AR256">
        <v>78414793.285408109</v>
      </c>
    </row>
    <row r="257" spans="1:44" x14ac:dyDescent="0.25">
      <c r="A257" s="1">
        <v>878</v>
      </c>
      <c r="B257">
        <v>2165</v>
      </c>
      <c r="C257">
        <v>2165</v>
      </c>
      <c r="D257">
        <v>2165</v>
      </c>
      <c r="E257">
        <v>2677</v>
      </c>
      <c r="F257" t="s">
        <v>121</v>
      </c>
      <c r="G257" s="2">
        <v>44196</v>
      </c>
      <c r="H257" t="s">
        <v>122</v>
      </c>
      <c r="I257" t="s">
        <v>100</v>
      </c>
      <c r="J257" t="s">
        <v>46</v>
      </c>
      <c r="K257">
        <v>63586000</v>
      </c>
      <c r="L257">
        <v>47819000</v>
      </c>
      <c r="M257">
        <v>754353000</v>
      </c>
      <c r="N257">
        <v>6.3390746772399656E-2</v>
      </c>
      <c r="O257">
        <v>3.6809811228381867E-2</v>
      </c>
      <c r="P257">
        <v>1299083000</v>
      </c>
      <c r="Q257">
        <v>2020</v>
      </c>
      <c r="R257">
        <v>0</v>
      </c>
      <c r="S257">
        <v>0</v>
      </c>
      <c r="T257" t="s">
        <v>123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2</v>
      </c>
      <c r="AJ257">
        <v>1</v>
      </c>
      <c r="AK257">
        <v>1554297181.8181801</v>
      </c>
      <c r="AL257">
        <v>9</v>
      </c>
      <c r="AM257">
        <v>1</v>
      </c>
      <c r="AN257">
        <v>2020</v>
      </c>
      <c r="AO257" t="s">
        <v>48</v>
      </c>
      <c r="AP257">
        <v>3.4062668681992411E-2</v>
      </c>
      <c r="AQ257">
        <v>44250233.819408737</v>
      </c>
      <c r="AR257">
        <v>19335766.180591259</v>
      </c>
    </row>
    <row r="258" spans="1:44" x14ac:dyDescent="0.25">
      <c r="A258" s="1">
        <v>1095</v>
      </c>
      <c r="B258">
        <v>2166</v>
      </c>
      <c r="C258">
        <v>2166</v>
      </c>
      <c r="D258">
        <v>2166</v>
      </c>
      <c r="E258">
        <v>2678</v>
      </c>
      <c r="F258" t="s">
        <v>121</v>
      </c>
      <c r="G258" s="2">
        <v>43830</v>
      </c>
      <c r="H258" t="s">
        <v>122</v>
      </c>
      <c r="I258" t="s">
        <v>100</v>
      </c>
      <c r="J258" t="s">
        <v>46</v>
      </c>
      <c r="K258">
        <v>83654000</v>
      </c>
      <c r="L258">
        <v>63209000</v>
      </c>
      <c r="M258">
        <v>733046000</v>
      </c>
      <c r="N258">
        <v>8.6227876558906263E-2</v>
      </c>
      <c r="O258">
        <v>4.7915262704264688E-2</v>
      </c>
      <c r="P258">
        <v>1319183000</v>
      </c>
      <c r="Q258">
        <v>2019</v>
      </c>
      <c r="R258">
        <v>0</v>
      </c>
      <c r="S258">
        <v>0</v>
      </c>
      <c r="T258" t="s">
        <v>123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2</v>
      </c>
      <c r="AJ258">
        <v>1</v>
      </c>
      <c r="AK258">
        <v>1554297181.8181801</v>
      </c>
      <c r="AL258">
        <v>9</v>
      </c>
      <c r="AM258">
        <v>1</v>
      </c>
      <c r="AN258">
        <v>2019</v>
      </c>
      <c r="AO258" t="s">
        <v>59</v>
      </c>
      <c r="AP258">
        <v>3.5092427195981053E-2</v>
      </c>
      <c r="AQ258">
        <v>46293333.385675877</v>
      </c>
      <c r="AR258">
        <v>37360666.614324123</v>
      </c>
    </row>
    <row r="259" spans="1:44" x14ac:dyDescent="0.25">
      <c r="A259" s="1">
        <v>1096</v>
      </c>
      <c r="B259">
        <v>2167</v>
      </c>
      <c r="C259">
        <v>2167</v>
      </c>
      <c r="D259">
        <v>2167</v>
      </c>
      <c r="E259">
        <v>2679</v>
      </c>
      <c r="F259" t="s">
        <v>121</v>
      </c>
      <c r="G259" s="2">
        <v>43465</v>
      </c>
      <c r="H259" t="s">
        <v>122</v>
      </c>
      <c r="I259" t="s">
        <v>100</v>
      </c>
      <c r="J259" t="s">
        <v>46</v>
      </c>
      <c r="K259">
        <v>132740000</v>
      </c>
      <c r="L259">
        <v>97948000</v>
      </c>
      <c r="M259">
        <v>696973000</v>
      </c>
      <c r="N259">
        <v>0.14053342095030941</v>
      </c>
      <c r="O259">
        <v>7.1962119013595574E-2</v>
      </c>
      <c r="P259">
        <v>1361105000</v>
      </c>
      <c r="Q259">
        <v>2018</v>
      </c>
      <c r="R259">
        <v>0</v>
      </c>
      <c r="S259">
        <v>0</v>
      </c>
      <c r="T259" t="s">
        <v>123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2</v>
      </c>
      <c r="AJ259">
        <v>1</v>
      </c>
      <c r="AK259">
        <v>1554297181.8181801</v>
      </c>
      <c r="AL259">
        <v>9</v>
      </c>
      <c r="AM259">
        <v>1</v>
      </c>
      <c r="AN259">
        <v>2018</v>
      </c>
      <c r="AO259" t="s">
        <v>59</v>
      </c>
      <c r="AP259">
        <v>3.5092427195981053E-2</v>
      </c>
      <c r="AQ259">
        <v>47764478.118585803</v>
      </c>
      <c r="AR259">
        <v>84975521.881414205</v>
      </c>
    </row>
    <row r="260" spans="1:44" x14ac:dyDescent="0.25">
      <c r="A260" s="1">
        <v>1097</v>
      </c>
      <c r="B260">
        <v>2168</v>
      </c>
      <c r="C260">
        <v>2168</v>
      </c>
      <c r="D260">
        <v>2168</v>
      </c>
      <c r="E260">
        <v>2680</v>
      </c>
      <c r="F260" t="s">
        <v>121</v>
      </c>
      <c r="G260" s="2">
        <v>43100</v>
      </c>
      <c r="H260" t="s">
        <v>122</v>
      </c>
      <c r="I260" t="s">
        <v>100</v>
      </c>
      <c r="J260" t="s">
        <v>46</v>
      </c>
      <c r="K260">
        <v>106583000</v>
      </c>
      <c r="L260">
        <v>78874000</v>
      </c>
      <c r="M260">
        <v>633240000</v>
      </c>
      <c r="N260">
        <v>0.124556250394795</v>
      </c>
      <c r="O260">
        <v>5.4765472353414148E-2</v>
      </c>
      <c r="P260">
        <v>1440214000</v>
      </c>
      <c r="Q260">
        <v>2017</v>
      </c>
      <c r="R260">
        <v>0</v>
      </c>
      <c r="S260">
        <v>0</v>
      </c>
      <c r="T260" t="s">
        <v>123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2</v>
      </c>
      <c r="AJ260">
        <v>1</v>
      </c>
      <c r="AK260">
        <v>1554297181.8181801</v>
      </c>
      <c r="AL260">
        <v>9</v>
      </c>
      <c r="AM260">
        <v>1</v>
      </c>
      <c r="AN260">
        <v>2017</v>
      </c>
      <c r="AO260" t="s">
        <v>59</v>
      </c>
      <c r="AP260">
        <v>3.5092427195981053E-2</v>
      </c>
      <c r="AQ260">
        <v>50540604.941632658</v>
      </c>
      <c r="AR260">
        <v>56042395.058367342</v>
      </c>
    </row>
    <row r="261" spans="1:44" x14ac:dyDescent="0.25">
      <c r="A261" s="1">
        <v>1351</v>
      </c>
      <c r="B261">
        <v>2169</v>
      </c>
      <c r="C261">
        <v>2169</v>
      </c>
      <c r="D261">
        <v>2169</v>
      </c>
      <c r="E261">
        <v>2681</v>
      </c>
      <c r="F261" t="s">
        <v>121</v>
      </c>
      <c r="G261" s="2">
        <v>42735</v>
      </c>
      <c r="H261" t="s">
        <v>122</v>
      </c>
      <c r="I261" t="s">
        <v>100</v>
      </c>
      <c r="J261" t="s">
        <v>46</v>
      </c>
      <c r="K261">
        <v>106873000</v>
      </c>
      <c r="L261">
        <v>139656000</v>
      </c>
      <c r="M261">
        <v>593355000</v>
      </c>
      <c r="N261">
        <v>0.23536668604798139</v>
      </c>
      <c r="O261">
        <v>9.4604169856131973E-2</v>
      </c>
      <c r="P261">
        <v>1476214000</v>
      </c>
      <c r="Q261">
        <v>2016</v>
      </c>
      <c r="R261">
        <v>0</v>
      </c>
      <c r="S261">
        <v>0</v>
      </c>
      <c r="T261" t="s">
        <v>123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2</v>
      </c>
      <c r="AJ261">
        <v>1</v>
      </c>
      <c r="AK261">
        <v>1554297181.8181801</v>
      </c>
      <c r="AL261">
        <v>9</v>
      </c>
      <c r="AM261">
        <v>1</v>
      </c>
      <c r="AN261">
        <v>2016</v>
      </c>
      <c r="AO261" t="s">
        <v>62</v>
      </c>
      <c r="AP261">
        <v>3.5494312143141332E-2</v>
      </c>
      <c r="AQ261">
        <v>52397200.506075241</v>
      </c>
      <c r="AR261">
        <v>54475799.493924759</v>
      </c>
    </row>
    <row r="262" spans="1:44" x14ac:dyDescent="0.25">
      <c r="A262" s="1">
        <v>1352</v>
      </c>
      <c r="B262">
        <v>2170</v>
      </c>
      <c r="C262">
        <v>2170</v>
      </c>
      <c r="D262">
        <v>2170</v>
      </c>
      <c r="E262">
        <v>2682</v>
      </c>
      <c r="F262" t="s">
        <v>121</v>
      </c>
      <c r="G262" s="2">
        <v>42369</v>
      </c>
      <c r="H262" t="s">
        <v>122</v>
      </c>
      <c r="I262" t="s">
        <v>100</v>
      </c>
      <c r="J262" t="s">
        <v>46</v>
      </c>
      <c r="K262">
        <v>68847000</v>
      </c>
      <c r="L262">
        <v>51024000</v>
      </c>
      <c r="M262">
        <v>511147000</v>
      </c>
      <c r="N262">
        <v>9.9822555937920013E-2</v>
      </c>
      <c r="O262">
        <v>3.8150239747459527E-2</v>
      </c>
      <c r="P262">
        <v>1337449000</v>
      </c>
      <c r="Q262">
        <v>2015</v>
      </c>
      <c r="R262">
        <v>0</v>
      </c>
      <c r="S262">
        <v>0</v>
      </c>
      <c r="T262" t="s">
        <v>123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2</v>
      </c>
      <c r="AJ262">
        <v>1</v>
      </c>
      <c r="AK262">
        <v>1554297181.8181801</v>
      </c>
      <c r="AL262">
        <v>9</v>
      </c>
      <c r="AM262">
        <v>1</v>
      </c>
      <c r="AN262">
        <v>2015</v>
      </c>
      <c r="AO262" t="s">
        <v>62</v>
      </c>
      <c r="AP262">
        <v>3.5494312143141332E-2</v>
      </c>
      <c r="AQ262">
        <v>47471832.281532228</v>
      </c>
      <c r="AR262">
        <v>21375167.718467768</v>
      </c>
    </row>
    <row r="263" spans="1:44" x14ac:dyDescent="0.25">
      <c r="A263" s="1">
        <v>1353</v>
      </c>
      <c r="B263">
        <v>2171</v>
      </c>
      <c r="C263">
        <v>2171</v>
      </c>
      <c r="D263">
        <v>2171</v>
      </c>
      <c r="E263">
        <v>2683</v>
      </c>
      <c r="F263" t="s">
        <v>121</v>
      </c>
      <c r="G263" s="2">
        <v>42004</v>
      </c>
      <c r="H263" t="s">
        <v>122</v>
      </c>
      <c r="I263" t="s">
        <v>100</v>
      </c>
      <c r="J263" t="s">
        <v>46</v>
      </c>
      <c r="K263">
        <v>-460225000</v>
      </c>
      <c r="L263">
        <v>-505260000</v>
      </c>
      <c r="M263">
        <v>486431000</v>
      </c>
      <c r="N263">
        <v>-1.03870847047166</v>
      </c>
      <c r="O263">
        <v>-0.35714285714285721</v>
      </c>
      <c r="P263">
        <v>1414728000</v>
      </c>
      <c r="Q263">
        <v>2014</v>
      </c>
      <c r="R263">
        <v>0</v>
      </c>
      <c r="S263">
        <v>0</v>
      </c>
      <c r="T263" t="s">
        <v>123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2</v>
      </c>
      <c r="AJ263">
        <v>1</v>
      </c>
      <c r="AK263">
        <v>1554297181.8181801</v>
      </c>
      <c r="AL263">
        <v>9</v>
      </c>
      <c r="AM263">
        <v>1</v>
      </c>
      <c r="AN263">
        <v>2014</v>
      </c>
      <c r="AO263" t="s">
        <v>62</v>
      </c>
      <c r="AP263">
        <v>3.5494312143141332E-2</v>
      </c>
      <c r="AQ263">
        <v>50214797.229642048</v>
      </c>
      <c r="AR263">
        <v>-510439797.22964197</v>
      </c>
    </row>
    <row r="264" spans="1:44" x14ac:dyDescent="0.25">
      <c r="A264" s="1">
        <v>1354</v>
      </c>
      <c r="B264">
        <v>2172</v>
      </c>
      <c r="C264">
        <v>2172</v>
      </c>
      <c r="D264">
        <v>2172</v>
      </c>
      <c r="E264">
        <v>2684</v>
      </c>
      <c r="F264" t="s">
        <v>121</v>
      </c>
      <c r="G264" s="2">
        <v>41639</v>
      </c>
      <c r="H264" t="s">
        <v>122</v>
      </c>
      <c r="I264" t="s">
        <v>100</v>
      </c>
      <c r="J264" t="s">
        <v>46</v>
      </c>
      <c r="K264">
        <v>41437000</v>
      </c>
      <c r="L264">
        <v>30366000</v>
      </c>
      <c r="M264">
        <v>919623000</v>
      </c>
      <c r="N264">
        <v>3.3020052782498907E-2</v>
      </c>
      <c r="O264">
        <v>1.7277774679974829E-2</v>
      </c>
      <c r="P264">
        <v>1757518000</v>
      </c>
      <c r="Q264">
        <v>2013</v>
      </c>
      <c r="R264">
        <v>0</v>
      </c>
      <c r="S264">
        <v>0</v>
      </c>
      <c r="T264" t="s">
        <v>123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2</v>
      </c>
      <c r="AJ264">
        <v>1</v>
      </c>
      <c r="AK264">
        <v>1554297181.8181801</v>
      </c>
      <c r="AL264">
        <v>9</v>
      </c>
      <c r="AM264">
        <v>1</v>
      </c>
      <c r="AN264">
        <v>2013</v>
      </c>
      <c r="AO264" t="s">
        <v>62</v>
      </c>
      <c r="AP264">
        <v>3.5494312143141332E-2</v>
      </c>
      <c r="AQ264">
        <v>62381892.489189468</v>
      </c>
      <c r="AR264">
        <v>-20944892.489189468</v>
      </c>
    </row>
    <row r="265" spans="1:44" x14ac:dyDescent="0.25">
      <c r="A265" s="1">
        <v>48</v>
      </c>
      <c r="B265">
        <v>2534</v>
      </c>
      <c r="C265">
        <v>2534</v>
      </c>
      <c r="D265">
        <v>2534</v>
      </c>
      <c r="E265">
        <v>1770</v>
      </c>
      <c r="F265" t="s">
        <v>53</v>
      </c>
      <c r="G265" s="2">
        <v>45291</v>
      </c>
      <c r="H265" t="s">
        <v>54</v>
      </c>
      <c r="I265" t="s">
        <v>45</v>
      </c>
      <c r="J265" t="s">
        <v>46</v>
      </c>
      <c r="K265">
        <v>113795156.601331</v>
      </c>
      <c r="L265">
        <v>99109907.106679693</v>
      </c>
      <c r="M265">
        <v>923310059.27911103</v>
      </c>
      <c r="N265">
        <v>0.1073419552951273</v>
      </c>
      <c r="O265">
        <v>3.6605651453813698E-2</v>
      </c>
      <c r="P265">
        <v>2707502890.1405902</v>
      </c>
      <c r="Q265">
        <v>2023</v>
      </c>
      <c r="R265">
        <v>0</v>
      </c>
      <c r="S265">
        <v>0</v>
      </c>
      <c r="T265" t="s">
        <v>55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1</v>
      </c>
      <c r="AJ265">
        <v>1</v>
      </c>
      <c r="AK265">
        <v>2847716520.1246099</v>
      </c>
      <c r="AL265">
        <v>9</v>
      </c>
      <c r="AM265">
        <v>1</v>
      </c>
      <c r="AN265">
        <v>2023</v>
      </c>
      <c r="AO265" t="s">
        <v>48</v>
      </c>
      <c r="AP265">
        <v>2.639308490294508E-2</v>
      </c>
      <c r="AQ265">
        <v>71459353.654449791</v>
      </c>
      <c r="AR265">
        <v>42335802.946881197</v>
      </c>
    </row>
    <row r="266" spans="1:44" x14ac:dyDescent="0.25">
      <c r="A266" s="1">
        <v>49</v>
      </c>
      <c r="B266">
        <v>2535</v>
      </c>
      <c r="C266">
        <v>2535</v>
      </c>
      <c r="D266">
        <v>2535</v>
      </c>
      <c r="E266">
        <v>1771</v>
      </c>
      <c r="F266" t="s">
        <v>53</v>
      </c>
      <c r="G266" s="2">
        <v>44926</v>
      </c>
      <c r="H266" t="s">
        <v>54</v>
      </c>
      <c r="I266" t="s">
        <v>45</v>
      </c>
      <c r="J266" t="s">
        <v>46</v>
      </c>
      <c r="K266">
        <v>104448769.757018</v>
      </c>
      <c r="L266">
        <v>155136105.213494</v>
      </c>
      <c r="M266">
        <v>923471135.88110399</v>
      </c>
      <c r="N266">
        <v>0.1679923705092041</v>
      </c>
      <c r="O266">
        <v>5.6481285481799932E-2</v>
      </c>
      <c r="P266">
        <v>2746681558.1505098</v>
      </c>
      <c r="Q266">
        <v>2022</v>
      </c>
      <c r="R266">
        <v>0</v>
      </c>
      <c r="S266">
        <v>0</v>
      </c>
      <c r="T266" t="s">
        <v>55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1</v>
      </c>
      <c r="AJ266">
        <v>1</v>
      </c>
      <c r="AK266">
        <v>2847716520.1246099</v>
      </c>
      <c r="AL266">
        <v>9</v>
      </c>
      <c r="AM266">
        <v>1</v>
      </c>
      <c r="AN266">
        <v>2022</v>
      </c>
      <c r="AO266" t="s">
        <v>48</v>
      </c>
      <c r="AP266">
        <v>2.639308490294508E-2</v>
      </c>
      <c r="AQ266">
        <v>72493399.565619886</v>
      </c>
      <c r="AR266">
        <v>31955370.19139811</v>
      </c>
    </row>
    <row r="267" spans="1:44" x14ac:dyDescent="0.25">
      <c r="A267" s="1">
        <v>50</v>
      </c>
      <c r="B267">
        <v>2536</v>
      </c>
      <c r="C267">
        <v>2536</v>
      </c>
      <c r="D267">
        <v>2536</v>
      </c>
      <c r="E267">
        <v>1772</v>
      </c>
      <c r="F267" t="s">
        <v>53</v>
      </c>
      <c r="G267" s="2">
        <v>44561</v>
      </c>
      <c r="H267" t="s">
        <v>54</v>
      </c>
      <c r="I267" t="s">
        <v>45</v>
      </c>
      <c r="J267" t="s">
        <v>46</v>
      </c>
      <c r="K267">
        <v>66345291.9750911</v>
      </c>
      <c r="L267">
        <v>82088201.151451096</v>
      </c>
      <c r="M267">
        <v>884456320.05639803</v>
      </c>
      <c r="N267">
        <v>9.28120465533184E-2</v>
      </c>
      <c r="O267">
        <v>3.1464007657399963E-2</v>
      </c>
      <c r="P267">
        <v>2608955669.1340599</v>
      </c>
      <c r="Q267">
        <v>2021</v>
      </c>
      <c r="R267">
        <v>0</v>
      </c>
      <c r="S267">
        <v>0</v>
      </c>
      <c r="T267" t="s">
        <v>55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1</v>
      </c>
      <c r="AJ267">
        <v>1</v>
      </c>
      <c r="AK267">
        <v>2847716520.1246099</v>
      </c>
      <c r="AL267">
        <v>9</v>
      </c>
      <c r="AM267">
        <v>1</v>
      </c>
      <c r="AN267">
        <v>2021</v>
      </c>
      <c r="AO267" t="s">
        <v>48</v>
      </c>
      <c r="AP267">
        <v>2.639308490294508E-2</v>
      </c>
      <c r="AQ267">
        <v>68858388.483475134</v>
      </c>
      <c r="AR267">
        <v>-2513096.508384034</v>
      </c>
    </row>
    <row r="268" spans="1:44" x14ac:dyDescent="0.25">
      <c r="A268" s="1">
        <v>51</v>
      </c>
      <c r="B268">
        <v>2537</v>
      </c>
      <c r="C268">
        <v>2537</v>
      </c>
      <c r="D268">
        <v>2537</v>
      </c>
      <c r="E268">
        <v>1773</v>
      </c>
      <c r="F268" t="s">
        <v>53</v>
      </c>
      <c r="G268" s="2">
        <v>44196</v>
      </c>
      <c r="H268" t="s">
        <v>54</v>
      </c>
      <c r="I268" t="s">
        <v>45</v>
      </c>
      <c r="J268" t="s">
        <v>46</v>
      </c>
      <c r="K268">
        <v>39681725.959844999</v>
      </c>
      <c r="L268">
        <v>36379232.123987302</v>
      </c>
      <c r="M268">
        <v>1020812063.4026099</v>
      </c>
      <c r="N268">
        <v>3.5637541353818497E-2</v>
      </c>
      <c r="O268">
        <v>1.183352736279435E-2</v>
      </c>
      <c r="P268">
        <v>3074250898.2035899</v>
      </c>
      <c r="Q268">
        <v>2020</v>
      </c>
      <c r="R268">
        <v>0</v>
      </c>
      <c r="S268">
        <v>0</v>
      </c>
      <c r="T268" t="s">
        <v>55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1</v>
      </c>
      <c r="AJ268">
        <v>1</v>
      </c>
      <c r="AK268">
        <v>2847716520.1246099</v>
      </c>
      <c r="AL268">
        <v>9</v>
      </c>
      <c r="AM268">
        <v>1</v>
      </c>
      <c r="AN268">
        <v>2020</v>
      </c>
      <c r="AO268" t="s">
        <v>48</v>
      </c>
      <c r="AP268">
        <v>2.639308490294508E-2</v>
      </c>
      <c r="AQ268">
        <v>81138964.969242528</v>
      </c>
      <c r="AR268">
        <v>-41457239.009397529</v>
      </c>
    </row>
    <row r="269" spans="1:44" x14ac:dyDescent="0.25">
      <c r="A269" s="1">
        <v>104</v>
      </c>
      <c r="B269">
        <v>2538</v>
      </c>
      <c r="C269">
        <v>2538</v>
      </c>
      <c r="D269">
        <v>2538</v>
      </c>
      <c r="E269">
        <v>1774</v>
      </c>
      <c r="F269" t="s">
        <v>53</v>
      </c>
      <c r="G269" s="2">
        <v>43830</v>
      </c>
      <c r="H269" t="s">
        <v>54</v>
      </c>
      <c r="I269" t="s">
        <v>45</v>
      </c>
      <c r="J269" t="s">
        <v>46</v>
      </c>
      <c r="K269">
        <v>52959769.793745801</v>
      </c>
      <c r="L269">
        <v>46019546.240851603</v>
      </c>
      <c r="M269">
        <v>959967506.32069194</v>
      </c>
      <c r="N269">
        <v>4.7938649941634652E-2</v>
      </c>
      <c r="O269">
        <v>1.6644124489331651E-2</v>
      </c>
      <c r="P269">
        <v>2764912403.1936102</v>
      </c>
      <c r="Q269">
        <v>2019</v>
      </c>
      <c r="R269">
        <v>0</v>
      </c>
      <c r="S269">
        <v>0</v>
      </c>
      <c r="T269" t="s">
        <v>55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1</v>
      </c>
      <c r="AJ269">
        <v>1</v>
      </c>
      <c r="AK269">
        <v>2847716520.1246099</v>
      </c>
      <c r="AL269">
        <v>9</v>
      </c>
      <c r="AM269">
        <v>1</v>
      </c>
      <c r="AN269">
        <v>2019</v>
      </c>
      <c r="AO269" t="s">
        <v>59</v>
      </c>
      <c r="AP269">
        <v>2.6740380212775649E-2</v>
      </c>
      <c r="AQ269">
        <v>73934808.916416392</v>
      </c>
      <c r="AR269">
        <v>-20975039.122670591</v>
      </c>
    </row>
    <row r="270" spans="1:44" x14ac:dyDescent="0.25">
      <c r="A270" s="1">
        <v>105</v>
      </c>
      <c r="B270">
        <v>2539</v>
      </c>
      <c r="C270">
        <v>2539</v>
      </c>
      <c r="D270">
        <v>2539</v>
      </c>
      <c r="E270">
        <v>1775</v>
      </c>
      <c r="F270" t="s">
        <v>53</v>
      </c>
      <c r="G270" s="2">
        <v>43465</v>
      </c>
      <c r="H270" t="s">
        <v>54</v>
      </c>
      <c r="I270" t="s">
        <v>45</v>
      </c>
      <c r="J270" t="s">
        <v>46</v>
      </c>
      <c r="K270">
        <v>24357690.697842199</v>
      </c>
      <c r="L270">
        <v>47936277.693584502</v>
      </c>
      <c r="M270">
        <v>1003506232.2292</v>
      </c>
      <c r="N270">
        <v>4.7768789225253058E-2</v>
      </c>
      <c r="O270">
        <v>1.8325245669934102E-2</v>
      </c>
      <c r="P270">
        <v>2615860030.3095899</v>
      </c>
      <c r="Q270">
        <v>2018</v>
      </c>
      <c r="R270">
        <v>0</v>
      </c>
      <c r="S270">
        <v>0</v>
      </c>
      <c r="T270" t="s">
        <v>55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1</v>
      </c>
      <c r="AJ270">
        <v>1</v>
      </c>
      <c r="AK270">
        <v>2847716520.1246099</v>
      </c>
      <c r="AL270">
        <v>9</v>
      </c>
      <c r="AM270">
        <v>1</v>
      </c>
      <c r="AN270">
        <v>2018</v>
      </c>
      <c r="AO270" t="s">
        <v>59</v>
      </c>
      <c r="AP270">
        <v>2.6740380212775649E-2</v>
      </c>
      <c r="AQ270">
        <v>69949091.793881282</v>
      </c>
      <c r="AR270">
        <v>-45591401.096039087</v>
      </c>
    </row>
    <row r="271" spans="1:44" x14ac:dyDescent="0.25">
      <c r="A271" s="1">
        <v>106</v>
      </c>
      <c r="B271">
        <v>2540</v>
      </c>
      <c r="C271">
        <v>2540</v>
      </c>
      <c r="D271">
        <v>2540</v>
      </c>
      <c r="E271">
        <v>1776</v>
      </c>
      <c r="F271" t="s">
        <v>53</v>
      </c>
      <c r="G271" s="2">
        <v>43100</v>
      </c>
      <c r="H271" t="s">
        <v>54</v>
      </c>
      <c r="I271" t="s">
        <v>45</v>
      </c>
      <c r="J271" t="s">
        <v>46</v>
      </c>
      <c r="K271">
        <v>46176824.208899401</v>
      </c>
      <c r="L271">
        <v>42786532.172781304</v>
      </c>
      <c r="M271">
        <v>964410287.15529203</v>
      </c>
      <c r="N271">
        <v>4.4365487119582853E-2</v>
      </c>
      <c r="O271">
        <v>1.382983410399344E-2</v>
      </c>
      <c r="P271">
        <v>3093784918.24616</v>
      </c>
      <c r="Q271">
        <v>2017</v>
      </c>
      <c r="R271">
        <v>0</v>
      </c>
      <c r="S271">
        <v>0</v>
      </c>
      <c r="T271" t="s">
        <v>55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1</v>
      </c>
      <c r="AJ271">
        <v>1</v>
      </c>
      <c r="AK271">
        <v>2847716520.1246099</v>
      </c>
      <c r="AL271">
        <v>9</v>
      </c>
      <c r="AM271">
        <v>1</v>
      </c>
      <c r="AN271">
        <v>2017</v>
      </c>
      <c r="AO271" t="s">
        <v>59</v>
      </c>
      <c r="AP271">
        <v>2.6740380212775649E-2</v>
      </c>
      <c r="AQ271">
        <v>82728985.010453358</v>
      </c>
      <c r="AR271">
        <v>-36552160.801553957</v>
      </c>
    </row>
    <row r="272" spans="1:44" x14ac:dyDescent="0.25">
      <c r="A272" s="1">
        <v>166</v>
      </c>
      <c r="B272">
        <v>2541</v>
      </c>
      <c r="C272">
        <v>2541</v>
      </c>
      <c r="D272">
        <v>2541</v>
      </c>
      <c r="E272">
        <v>1777</v>
      </c>
      <c r="F272" t="s">
        <v>53</v>
      </c>
      <c r="G272" s="2">
        <v>42735</v>
      </c>
      <c r="H272" t="s">
        <v>54</v>
      </c>
      <c r="I272" t="s">
        <v>45</v>
      </c>
      <c r="J272" t="s">
        <v>46</v>
      </c>
      <c r="K272">
        <v>3529614.9651122801</v>
      </c>
      <c r="L272">
        <v>16328716.9986105</v>
      </c>
      <c r="M272">
        <v>522954193.24956298</v>
      </c>
      <c r="N272">
        <v>3.1223990952527168E-2</v>
      </c>
      <c r="O272">
        <v>6.0488503085464416E-3</v>
      </c>
      <c r="P272">
        <v>2699474472.9489498</v>
      </c>
      <c r="Q272">
        <v>2016</v>
      </c>
      <c r="R272">
        <v>0</v>
      </c>
      <c r="S272">
        <v>0</v>
      </c>
      <c r="T272" t="s">
        <v>55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1</v>
      </c>
      <c r="AJ272">
        <v>1</v>
      </c>
      <c r="AK272">
        <v>2847716520.1246099</v>
      </c>
      <c r="AL272">
        <v>9</v>
      </c>
      <c r="AM272">
        <v>1</v>
      </c>
      <c r="AN272">
        <v>2016</v>
      </c>
      <c r="AO272" t="s">
        <v>62</v>
      </c>
      <c r="AP272">
        <v>3.8046758435701003E-2</v>
      </c>
      <c r="AQ272">
        <v>102706253.17563</v>
      </c>
      <c r="AR272">
        <v>-99176638.21051769</v>
      </c>
    </row>
    <row r="273" spans="1:44" x14ac:dyDescent="0.25">
      <c r="A273" s="1">
        <v>167</v>
      </c>
      <c r="B273">
        <v>2542</v>
      </c>
      <c r="C273">
        <v>2542</v>
      </c>
      <c r="D273">
        <v>2542</v>
      </c>
      <c r="E273">
        <v>1778</v>
      </c>
      <c r="F273" t="s">
        <v>53</v>
      </c>
      <c r="G273" s="2">
        <v>42369</v>
      </c>
      <c r="H273" t="s">
        <v>54</v>
      </c>
      <c r="I273" t="s">
        <v>45</v>
      </c>
      <c r="J273" t="s">
        <v>46</v>
      </c>
      <c r="K273">
        <v>-96135706.717524901</v>
      </c>
      <c r="L273">
        <v>-52604940.312213004</v>
      </c>
      <c r="M273">
        <v>478874583.59821999</v>
      </c>
      <c r="N273">
        <v>-0.1098511846608026</v>
      </c>
      <c r="O273">
        <v>-2.0638559747476321E-2</v>
      </c>
      <c r="P273">
        <v>2548866827.7177401</v>
      </c>
      <c r="Q273">
        <v>2015</v>
      </c>
      <c r="R273">
        <v>0</v>
      </c>
      <c r="S273">
        <v>0</v>
      </c>
      <c r="T273" t="s">
        <v>55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1</v>
      </c>
      <c r="AJ273">
        <v>1</v>
      </c>
      <c r="AK273">
        <v>2847716520.1246099</v>
      </c>
      <c r="AL273">
        <v>9</v>
      </c>
      <c r="AM273">
        <v>1</v>
      </c>
      <c r="AN273">
        <v>2015</v>
      </c>
      <c r="AO273" t="s">
        <v>62</v>
      </c>
      <c r="AP273">
        <v>3.8046758435701003E-2</v>
      </c>
      <c r="AQ273">
        <v>96976120.478948385</v>
      </c>
      <c r="AR273">
        <v>-193111827.1964733</v>
      </c>
    </row>
    <row r="274" spans="1:44" x14ac:dyDescent="0.25">
      <c r="A274" s="1">
        <v>168</v>
      </c>
      <c r="B274">
        <v>2543</v>
      </c>
      <c r="C274">
        <v>2543</v>
      </c>
      <c r="D274">
        <v>2543</v>
      </c>
      <c r="E274">
        <v>1779</v>
      </c>
      <c r="F274" t="s">
        <v>53</v>
      </c>
      <c r="G274" s="2">
        <v>42004</v>
      </c>
      <c r="H274" t="s">
        <v>54</v>
      </c>
      <c r="I274" t="s">
        <v>45</v>
      </c>
      <c r="J274" t="s">
        <v>46</v>
      </c>
      <c r="K274">
        <v>-293979754.28759903</v>
      </c>
      <c r="L274">
        <v>-165364162.26912901</v>
      </c>
      <c r="M274">
        <v>619045761.87335098</v>
      </c>
      <c r="N274">
        <v>-0.2671275250616455</v>
      </c>
      <c r="O274">
        <v>-5.450843361506396E-2</v>
      </c>
      <c r="P274">
        <v>3033735356.2005301</v>
      </c>
      <c r="Q274">
        <v>2014</v>
      </c>
      <c r="R274">
        <v>0</v>
      </c>
      <c r="S274">
        <v>0</v>
      </c>
      <c r="T274" t="s">
        <v>55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1</v>
      </c>
      <c r="AJ274">
        <v>1</v>
      </c>
      <c r="AK274">
        <v>2847716520.1246099</v>
      </c>
      <c r="AL274">
        <v>9</v>
      </c>
      <c r="AM274">
        <v>1</v>
      </c>
      <c r="AN274">
        <v>2014</v>
      </c>
      <c r="AO274" t="s">
        <v>62</v>
      </c>
      <c r="AP274">
        <v>3.8046758435701003E-2</v>
      </c>
      <c r="AQ274">
        <v>115423796.2552069</v>
      </c>
      <c r="AR274">
        <v>-409403550.54280591</v>
      </c>
    </row>
    <row r="275" spans="1:44" x14ac:dyDescent="0.25">
      <c r="A275" s="1">
        <v>169</v>
      </c>
      <c r="B275">
        <v>2544</v>
      </c>
      <c r="C275">
        <v>2544</v>
      </c>
      <c r="D275">
        <v>2544</v>
      </c>
      <c r="E275">
        <v>1780</v>
      </c>
      <c r="F275" t="s">
        <v>53</v>
      </c>
      <c r="G275" s="2">
        <v>41639</v>
      </c>
      <c r="H275" t="s">
        <v>54</v>
      </c>
      <c r="I275" t="s">
        <v>45</v>
      </c>
      <c r="J275" t="s">
        <v>46</v>
      </c>
      <c r="K275">
        <v>-1064479550.73291</v>
      </c>
      <c r="L275">
        <v>-915499636.39824903</v>
      </c>
      <c r="M275">
        <v>781750266.51437294</v>
      </c>
      <c r="N275">
        <v>-1.1710896377179769</v>
      </c>
      <c r="O275">
        <v>-0.26684286672926388</v>
      </c>
      <c r="P275">
        <v>3430856697.1254501</v>
      </c>
      <c r="Q275">
        <v>2013</v>
      </c>
      <c r="R275">
        <v>0</v>
      </c>
      <c r="S275">
        <v>0</v>
      </c>
      <c r="T275" t="s">
        <v>55</v>
      </c>
      <c r="U275">
        <v>0</v>
      </c>
      <c r="V275">
        <v>0</v>
      </c>
      <c r="W275">
        <v>0</v>
      </c>
      <c r="X275">
        <v>300000000</v>
      </c>
      <c r="Y275" t="s">
        <v>63</v>
      </c>
      <c r="Z275">
        <v>0</v>
      </c>
      <c r="AA275">
        <v>1</v>
      </c>
      <c r="AB275">
        <v>0</v>
      </c>
      <c r="AC275">
        <v>0</v>
      </c>
      <c r="AD275">
        <v>1</v>
      </c>
      <c r="AE275" t="s">
        <v>63</v>
      </c>
      <c r="AF275">
        <v>0</v>
      </c>
      <c r="AG275">
        <v>0</v>
      </c>
      <c r="AH275">
        <v>0</v>
      </c>
      <c r="AI275">
        <v>1</v>
      </c>
      <c r="AJ275">
        <v>1</v>
      </c>
      <c r="AK275">
        <v>2847716520.1246099</v>
      </c>
      <c r="AL275">
        <v>9</v>
      </c>
      <c r="AM275">
        <v>1</v>
      </c>
      <c r="AN275">
        <v>2013</v>
      </c>
      <c r="AO275" t="s">
        <v>62</v>
      </c>
      <c r="AP275">
        <v>3.8046758435701003E-2</v>
      </c>
      <c r="AQ275">
        <v>130532975.98303901</v>
      </c>
      <c r="AR275">
        <v>-1195012526.7159491</v>
      </c>
    </row>
    <row r="276" spans="1:44" x14ac:dyDescent="0.25">
      <c r="A276" s="1">
        <v>903</v>
      </c>
      <c r="B276">
        <v>2850</v>
      </c>
      <c r="C276">
        <v>2850</v>
      </c>
      <c r="D276">
        <v>2850</v>
      </c>
      <c r="E276">
        <v>1275</v>
      </c>
      <c r="F276" t="s">
        <v>125</v>
      </c>
      <c r="G276" s="2">
        <v>45291</v>
      </c>
      <c r="H276" t="s">
        <v>126</v>
      </c>
      <c r="I276" t="s">
        <v>100</v>
      </c>
      <c r="J276" t="s">
        <v>46</v>
      </c>
      <c r="K276">
        <v>2807018000</v>
      </c>
      <c r="L276">
        <v>2019743000</v>
      </c>
      <c r="M276">
        <v>5530675000</v>
      </c>
      <c r="N276">
        <v>0.36518924001139103</v>
      </c>
      <c r="O276">
        <v>0.1725454633990485</v>
      </c>
      <c r="P276">
        <v>11705570000</v>
      </c>
      <c r="Q276">
        <v>2023</v>
      </c>
      <c r="R276">
        <v>0</v>
      </c>
      <c r="S276">
        <v>0</v>
      </c>
      <c r="T276" t="s">
        <v>127</v>
      </c>
      <c r="U276">
        <v>0</v>
      </c>
      <c r="V276">
        <v>0</v>
      </c>
      <c r="W276">
        <v>0</v>
      </c>
      <c r="X276">
        <v>750000000</v>
      </c>
      <c r="Y276" t="s">
        <v>128</v>
      </c>
      <c r="Z276">
        <v>0</v>
      </c>
      <c r="AA276">
        <v>1</v>
      </c>
      <c r="AB276">
        <v>0</v>
      </c>
      <c r="AC276">
        <v>0</v>
      </c>
      <c r="AD276">
        <v>1</v>
      </c>
      <c r="AE276" t="s">
        <v>128</v>
      </c>
      <c r="AF276">
        <v>0</v>
      </c>
      <c r="AG276">
        <v>0</v>
      </c>
      <c r="AH276">
        <v>0</v>
      </c>
      <c r="AI276">
        <v>6</v>
      </c>
      <c r="AJ276">
        <v>1</v>
      </c>
      <c r="AK276">
        <v>5993537909.0909004</v>
      </c>
      <c r="AL276">
        <v>10</v>
      </c>
      <c r="AM276">
        <v>1</v>
      </c>
      <c r="AN276">
        <v>2023</v>
      </c>
      <c r="AO276" t="s">
        <v>48</v>
      </c>
      <c r="AP276">
        <v>3.4062668681992411E-2</v>
      </c>
      <c r="AQ276">
        <v>398722952.64386988</v>
      </c>
      <c r="AR276">
        <v>2408295047.3561301</v>
      </c>
    </row>
    <row r="277" spans="1:44" x14ac:dyDescent="0.25">
      <c r="A277" s="1">
        <v>904</v>
      </c>
      <c r="B277">
        <v>2851</v>
      </c>
      <c r="C277">
        <v>2851</v>
      </c>
      <c r="D277">
        <v>2851</v>
      </c>
      <c r="E277">
        <v>1276</v>
      </c>
      <c r="F277" t="s">
        <v>125</v>
      </c>
      <c r="G277" s="2">
        <v>44926</v>
      </c>
      <c r="H277" t="s">
        <v>126</v>
      </c>
      <c r="I277" t="s">
        <v>100</v>
      </c>
      <c r="J277" t="s">
        <v>46</v>
      </c>
      <c r="K277">
        <v>5486496000</v>
      </c>
      <c r="L277">
        <v>3914284000</v>
      </c>
      <c r="M277">
        <v>4896632000</v>
      </c>
      <c r="N277">
        <v>0.799382922792646</v>
      </c>
      <c r="O277">
        <v>0.36179383111406388</v>
      </c>
      <c r="P277">
        <v>10819101000</v>
      </c>
      <c r="Q277">
        <v>2022</v>
      </c>
      <c r="R277">
        <v>0</v>
      </c>
      <c r="S277">
        <v>0</v>
      </c>
      <c r="T277" t="s">
        <v>127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6</v>
      </c>
      <c r="AJ277">
        <v>1</v>
      </c>
      <c r="AK277">
        <v>5993537909.0909004</v>
      </c>
      <c r="AL277">
        <v>10</v>
      </c>
      <c r="AM277">
        <v>1</v>
      </c>
      <c r="AN277">
        <v>2022</v>
      </c>
      <c r="AO277" t="s">
        <v>48</v>
      </c>
      <c r="AP277">
        <v>3.4062668681992411E-2</v>
      </c>
      <c r="AQ277">
        <v>368527452.80001283</v>
      </c>
      <c r="AR277">
        <v>5117968547.1999874</v>
      </c>
    </row>
    <row r="278" spans="1:44" x14ac:dyDescent="0.25">
      <c r="A278" s="1">
        <v>905</v>
      </c>
      <c r="B278">
        <v>2852</v>
      </c>
      <c r="C278">
        <v>2852</v>
      </c>
      <c r="D278">
        <v>2852</v>
      </c>
      <c r="E278">
        <v>1277</v>
      </c>
      <c r="F278" t="s">
        <v>125</v>
      </c>
      <c r="G278" s="2">
        <v>44561</v>
      </c>
      <c r="H278" t="s">
        <v>126</v>
      </c>
      <c r="I278" t="s">
        <v>100</v>
      </c>
      <c r="J278" t="s">
        <v>46</v>
      </c>
      <c r="K278">
        <v>841221000</v>
      </c>
      <c r="L278">
        <v>592205000</v>
      </c>
      <c r="M278">
        <v>3181520000</v>
      </c>
      <c r="N278">
        <v>0.1861390153134351</v>
      </c>
      <c r="O278">
        <v>8.4068715444564596E-2</v>
      </c>
      <c r="P278">
        <v>7044297000</v>
      </c>
      <c r="Q278">
        <v>2021</v>
      </c>
      <c r="R278">
        <v>0</v>
      </c>
      <c r="S278">
        <v>0</v>
      </c>
      <c r="T278" t="s">
        <v>127</v>
      </c>
      <c r="U278">
        <v>0</v>
      </c>
      <c r="V278">
        <v>0</v>
      </c>
      <c r="W278">
        <v>0</v>
      </c>
      <c r="X278">
        <v>700000000</v>
      </c>
      <c r="Y278" t="s">
        <v>128</v>
      </c>
      <c r="Z278">
        <v>0</v>
      </c>
      <c r="AA278">
        <v>1</v>
      </c>
      <c r="AB278">
        <v>0</v>
      </c>
      <c r="AC278">
        <v>0</v>
      </c>
      <c r="AD278">
        <v>1</v>
      </c>
      <c r="AE278" t="s">
        <v>128</v>
      </c>
      <c r="AF278">
        <v>0</v>
      </c>
      <c r="AG278">
        <v>0</v>
      </c>
      <c r="AH278">
        <v>0</v>
      </c>
      <c r="AI278">
        <v>6</v>
      </c>
      <c r="AJ278">
        <v>1</v>
      </c>
      <c r="AK278">
        <v>5993537909.0909004</v>
      </c>
      <c r="AL278">
        <v>10</v>
      </c>
      <c r="AM278">
        <v>1</v>
      </c>
      <c r="AN278">
        <v>2021</v>
      </c>
      <c r="AO278" t="s">
        <v>48</v>
      </c>
      <c r="AP278">
        <v>3.4062668681992411E-2</v>
      </c>
      <c r="AQ278">
        <v>239947554.8085531</v>
      </c>
      <c r="AR278">
        <v>601273445.1914469</v>
      </c>
    </row>
    <row r="279" spans="1:44" x14ac:dyDescent="0.25">
      <c r="A279" s="1">
        <v>906</v>
      </c>
      <c r="B279">
        <v>2853</v>
      </c>
      <c r="C279">
        <v>2853</v>
      </c>
      <c r="D279">
        <v>2853</v>
      </c>
      <c r="E279">
        <v>1278</v>
      </c>
      <c r="F279" t="s">
        <v>125</v>
      </c>
      <c r="G279" s="2">
        <v>44196</v>
      </c>
      <c r="H279" t="s">
        <v>126</v>
      </c>
      <c r="I279" t="s">
        <v>100</v>
      </c>
      <c r="J279" t="s">
        <v>46</v>
      </c>
      <c r="K279">
        <v>238538000</v>
      </c>
      <c r="L279">
        <v>168359000</v>
      </c>
      <c r="M279">
        <v>2123085000</v>
      </c>
      <c r="N279">
        <v>7.9299227303664246E-2</v>
      </c>
      <c r="O279">
        <v>3.494039489355838E-2</v>
      </c>
      <c r="P279">
        <v>4818463000</v>
      </c>
      <c r="Q279">
        <v>2020</v>
      </c>
      <c r="R279">
        <v>0</v>
      </c>
      <c r="S279">
        <v>0</v>
      </c>
      <c r="T279" t="s">
        <v>127</v>
      </c>
      <c r="U279">
        <v>0</v>
      </c>
      <c r="V279">
        <v>0</v>
      </c>
      <c r="W279">
        <v>0</v>
      </c>
      <c r="X279">
        <v>400000000</v>
      </c>
      <c r="Y279" t="s">
        <v>128</v>
      </c>
      <c r="Z279">
        <v>0</v>
      </c>
      <c r="AA279">
        <v>1</v>
      </c>
      <c r="AB279">
        <v>0</v>
      </c>
      <c r="AC279">
        <v>0</v>
      </c>
      <c r="AD279">
        <v>1</v>
      </c>
      <c r="AE279" t="s">
        <v>128</v>
      </c>
      <c r="AF279">
        <v>0</v>
      </c>
      <c r="AG279">
        <v>0</v>
      </c>
      <c r="AH279">
        <v>0</v>
      </c>
      <c r="AI279">
        <v>6</v>
      </c>
      <c r="AJ279">
        <v>1</v>
      </c>
      <c r="AK279">
        <v>5993537909.0909004</v>
      </c>
      <c r="AL279">
        <v>10</v>
      </c>
      <c r="AM279">
        <v>1</v>
      </c>
      <c r="AN279">
        <v>2020</v>
      </c>
      <c r="AO279" t="s">
        <v>48</v>
      </c>
      <c r="AP279">
        <v>3.4062668681992411E-2</v>
      </c>
      <c r="AQ279">
        <v>164129708.72543919</v>
      </c>
      <c r="AR279">
        <v>74408291.274560809</v>
      </c>
    </row>
    <row r="280" spans="1:44" x14ac:dyDescent="0.25">
      <c r="A280" s="1">
        <v>1116</v>
      </c>
      <c r="B280">
        <v>2854</v>
      </c>
      <c r="C280">
        <v>2854</v>
      </c>
      <c r="D280">
        <v>2854</v>
      </c>
      <c r="E280">
        <v>1279</v>
      </c>
      <c r="F280" t="s">
        <v>125</v>
      </c>
      <c r="G280" s="2">
        <v>43830</v>
      </c>
      <c r="H280" t="s">
        <v>126</v>
      </c>
      <c r="I280" t="s">
        <v>100</v>
      </c>
      <c r="J280" t="s">
        <v>46</v>
      </c>
      <c r="K280">
        <v>390622000</v>
      </c>
      <c r="L280">
        <v>280603000</v>
      </c>
      <c r="M280">
        <v>2086267000</v>
      </c>
      <c r="N280">
        <v>0.1345000424202655</v>
      </c>
      <c r="O280">
        <v>5.990477249772691E-2</v>
      </c>
      <c r="P280">
        <v>4684151000</v>
      </c>
      <c r="Q280">
        <v>2019</v>
      </c>
      <c r="R280">
        <v>0</v>
      </c>
      <c r="S280">
        <v>0</v>
      </c>
      <c r="T280" t="s">
        <v>127</v>
      </c>
      <c r="U280">
        <v>0</v>
      </c>
      <c r="V280">
        <v>0</v>
      </c>
      <c r="W280">
        <v>0</v>
      </c>
      <c r="X280">
        <v>450000000</v>
      </c>
      <c r="Y280" t="s">
        <v>128</v>
      </c>
      <c r="Z280">
        <v>0</v>
      </c>
      <c r="AA280">
        <v>1</v>
      </c>
      <c r="AB280">
        <v>0</v>
      </c>
      <c r="AC280">
        <v>0</v>
      </c>
      <c r="AD280">
        <v>1</v>
      </c>
      <c r="AE280" t="s">
        <v>128</v>
      </c>
      <c r="AF280">
        <v>0</v>
      </c>
      <c r="AG280">
        <v>0</v>
      </c>
      <c r="AH280">
        <v>0</v>
      </c>
      <c r="AI280">
        <v>6</v>
      </c>
      <c r="AJ280">
        <v>1</v>
      </c>
      <c r="AK280">
        <v>5993537909.0909004</v>
      </c>
      <c r="AL280">
        <v>10</v>
      </c>
      <c r="AM280">
        <v>1</v>
      </c>
      <c r="AN280">
        <v>2019</v>
      </c>
      <c r="AO280" t="s">
        <v>59</v>
      </c>
      <c r="AP280">
        <v>3.5092427195981053E-2</v>
      </c>
      <c r="AQ280">
        <v>164378227.94248179</v>
      </c>
      <c r="AR280">
        <v>226243772.05751821</v>
      </c>
    </row>
    <row r="281" spans="1:44" x14ac:dyDescent="0.25">
      <c r="A281" s="1">
        <v>1117</v>
      </c>
      <c r="B281">
        <v>2855</v>
      </c>
      <c r="C281">
        <v>2855</v>
      </c>
      <c r="D281">
        <v>2855</v>
      </c>
      <c r="E281">
        <v>1280</v>
      </c>
      <c r="F281" t="s">
        <v>125</v>
      </c>
      <c r="G281" s="2">
        <v>43465</v>
      </c>
      <c r="H281" t="s">
        <v>126</v>
      </c>
      <c r="I281" t="s">
        <v>100</v>
      </c>
      <c r="J281" t="s">
        <v>46</v>
      </c>
      <c r="K281">
        <v>621038000</v>
      </c>
      <c r="L281">
        <v>442063000</v>
      </c>
      <c r="M281">
        <v>2085491000</v>
      </c>
      <c r="N281">
        <v>0.2119707061790245</v>
      </c>
      <c r="O281">
        <v>0.1035738669298286</v>
      </c>
      <c r="P281">
        <v>4268094000</v>
      </c>
      <c r="Q281">
        <v>2018</v>
      </c>
      <c r="R281">
        <v>0</v>
      </c>
      <c r="S281">
        <v>0</v>
      </c>
      <c r="T281" t="s">
        <v>127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6</v>
      </c>
      <c r="AJ281">
        <v>1</v>
      </c>
      <c r="AK281">
        <v>5993537909.0909004</v>
      </c>
      <c r="AL281">
        <v>10</v>
      </c>
      <c r="AM281">
        <v>1</v>
      </c>
      <c r="AN281">
        <v>2018</v>
      </c>
      <c r="AO281" t="s">
        <v>59</v>
      </c>
      <c r="AP281">
        <v>3.5092427195981053E-2</v>
      </c>
      <c r="AQ281">
        <v>149777777.96060359</v>
      </c>
      <c r="AR281">
        <v>471260222.03939641</v>
      </c>
    </row>
    <row r="282" spans="1:44" x14ac:dyDescent="0.25">
      <c r="A282" s="1">
        <v>1118</v>
      </c>
      <c r="B282">
        <v>2856</v>
      </c>
      <c r="C282">
        <v>2856</v>
      </c>
      <c r="D282">
        <v>2856</v>
      </c>
      <c r="E282">
        <v>1281</v>
      </c>
      <c r="F282" t="s">
        <v>125</v>
      </c>
      <c r="G282" s="2">
        <v>43100</v>
      </c>
      <c r="H282" t="s">
        <v>126</v>
      </c>
      <c r="I282" t="s">
        <v>100</v>
      </c>
      <c r="J282" t="s">
        <v>46</v>
      </c>
      <c r="K282">
        <v>594590000</v>
      </c>
      <c r="L282">
        <v>428417000</v>
      </c>
      <c r="M282">
        <v>2187821000</v>
      </c>
      <c r="N282">
        <v>0.1958190363836895</v>
      </c>
      <c r="O282">
        <v>9.9719149506684451E-2</v>
      </c>
      <c r="P282">
        <v>4296236000</v>
      </c>
      <c r="Q282">
        <v>2017</v>
      </c>
      <c r="R282">
        <v>0</v>
      </c>
      <c r="S282">
        <v>0</v>
      </c>
      <c r="T282" t="s">
        <v>127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6</v>
      </c>
      <c r="AJ282">
        <v>1</v>
      </c>
      <c r="AK282">
        <v>5993537909.0909004</v>
      </c>
      <c r="AL282">
        <v>10</v>
      </c>
      <c r="AM282">
        <v>1</v>
      </c>
      <c r="AN282">
        <v>2017</v>
      </c>
      <c r="AO282" t="s">
        <v>59</v>
      </c>
      <c r="AP282">
        <v>3.5092427195981053E-2</v>
      </c>
      <c r="AQ282">
        <v>150765349.0467529</v>
      </c>
      <c r="AR282">
        <v>443824650.95324707</v>
      </c>
    </row>
    <row r="283" spans="1:44" x14ac:dyDescent="0.25">
      <c r="A283" s="1">
        <v>1378</v>
      </c>
      <c r="B283">
        <v>2857</v>
      </c>
      <c r="C283">
        <v>2857</v>
      </c>
      <c r="D283">
        <v>2857</v>
      </c>
      <c r="E283">
        <v>1282</v>
      </c>
      <c r="F283" t="s">
        <v>125</v>
      </c>
      <c r="G283" s="2">
        <v>42735</v>
      </c>
      <c r="H283" t="s">
        <v>126</v>
      </c>
      <c r="I283" t="s">
        <v>100</v>
      </c>
      <c r="J283" t="s">
        <v>46</v>
      </c>
      <c r="K283">
        <v>414889000</v>
      </c>
      <c r="L283">
        <v>281924000</v>
      </c>
      <c r="M283">
        <v>2246074000</v>
      </c>
      <c r="N283">
        <v>0.1255185715163436</v>
      </c>
      <c r="O283">
        <v>6.6838628917159401E-2</v>
      </c>
      <c r="P283">
        <v>4217980000</v>
      </c>
      <c r="Q283">
        <v>2016</v>
      </c>
      <c r="R283">
        <v>0</v>
      </c>
      <c r="S283">
        <v>0</v>
      </c>
      <c r="T283" t="s">
        <v>127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6</v>
      </c>
      <c r="AJ283">
        <v>1</v>
      </c>
      <c r="AK283">
        <v>5993537909.0909004</v>
      </c>
      <c r="AL283">
        <v>10</v>
      </c>
      <c r="AM283">
        <v>1</v>
      </c>
      <c r="AN283">
        <v>2016</v>
      </c>
      <c r="AO283" t="s">
        <v>62</v>
      </c>
      <c r="AP283">
        <v>3.5494312143141332E-2</v>
      </c>
      <c r="AQ283">
        <v>149714298.7335273</v>
      </c>
      <c r="AR283">
        <v>265174701.2664727</v>
      </c>
    </row>
    <row r="284" spans="1:44" x14ac:dyDescent="0.25">
      <c r="A284" s="1">
        <v>1379</v>
      </c>
      <c r="B284">
        <v>2858</v>
      </c>
      <c r="C284">
        <v>2858</v>
      </c>
      <c r="D284">
        <v>2858</v>
      </c>
      <c r="E284">
        <v>1283</v>
      </c>
      <c r="F284" t="s">
        <v>125</v>
      </c>
      <c r="G284" s="2">
        <v>42369</v>
      </c>
      <c r="H284" t="s">
        <v>126</v>
      </c>
      <c r="I284" t="s">
        <v>100</v>
      </c>
      <c r="J284" t="s">
        <v>46</v>
      </c>
      <c r="K284">
        <v>301098000</v>
      </c>
      <c r="L284">
        <v>217332000</v>
      </c>
      <c r="M284">
        <v>2339785000</v>
      </c>
      <c r="N284">
        <v>9.2885457424506948E-2</v>
      </c>
      <c r="O284">
        <v>4.6800848105479999E-2</v>
      </c>
      <c r="P284">
        <v>4643762000</v>
      </c>
      <c r="Q284">
        <v>2015</v>
      </c>
      <c r="R284">
        <v>0</v>
      </c>
      <c r="S284">
        <v>0</v>
      </c>
      <c r="T284" t="s">
        <v>127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6</v>
      </c>
      <c r="AJ284">
        <v>1</v>
      </c>
      <c r="AK284">
        <v>5993537909.0909004</v>
      </c>
      <c r="AL284">
        <v>10</v>
      </c>
      <c r="AM284">
        <v>1</v>
      </c>
      <c r="AN284">
        <v>2015</v>
      </c>
      <c r="AO284" t="s">
        <v>62</v>
      </c>
      <c r="AP284">
        <v>3.5494312143141332E-2</v>
      </c>
      <c r="AQ284">
        <v>164827137.94645831</v>
      </c>
      <c r="AR284">
        <v>136270862.05354169</v>
      </c>
    </row>
    <row r="285" spans="1:44" x14ac:dyDescent="0.25">
      <c r="A285" s="1">
        <v>1380</v>
      </c>
      <c r="B285">
        <v>2859</v>
      </c>
      <c r="C285">
        <v>2859</v>
      </c>
      <c r="D285">
        <v>2859</v>
      </c>
      <c r="E285">
        <v>1284</v>
      </c>
      <c r="F285" t="s">
        <v>125</v>
      </c>
      <c r="G285" s="2">
        <v>42004</v>
      </c>
      <c r="H285" t="s">
        <v>126</v>
      </c>
      <c r="I285" t="s">
        <v>100</v>
      </c>
      <c r="J285" t="s">
        <v>46</v>
      </c>
      <c r="K285">
        <v>412152000</v>
      </c>
      <c r="L285">
        <v>303770000</v>
      </c>
      <c r="M285">
        <v>2239836000</v>
      </c>
      <c r="N285">
        <v>0.13562153657678511</v>
      </c>
      <c r="O285">
        <v>6.5135607157905118E-2</v>
      </c>
      <c r="P285">
        <v>4663655000</v>
      </c>
      <c r="Q285">
        <v>2014</v>
      </c>
      <c r="R285">
        <v>0</v>
      </c>
      <c r="S285">
        <v>0</v>
      </c>
      <c r="T285" t="s">
        <v>127</v>
      </c>
      <c r="U285">
        <v>0</v>
      </c>
      <c r="V285">
        <v>0</v>
      </c>
      <c r="W285">
        <v>0</v>
      </c>
      <c r="X285">
        <v>250000000</v>
      </c>
      <c r="Y285" t="s">
        <v>128</v>
      </c>
      <c r="Z285">
        <v>0</v>
      </c>
      <c r="AA285">
        <v>1</v>
      </c>
      <c r="AB285">
        <v>0</v>
      </c>
      <c r="AC285">
        <v>0</v>
      </c>
      <c r="AD285">
        <v>1</v>
      </c>
      <c r="AE285" t="s">
        <v>128</v>
      </c>
      <c r="AF285">
        <v>0</v>
      </c>
      <c r="AG285">
        <v>0</v>
      </c>
      <c r="AH285">
        <v>0</v>
      </c>
      <c r="AI285">
        <v>6</v>
      </c>
      <c r="AJ285">
        <v>1</v>
      </c>
      <c r="AK285">
        <v>5993537909.0909004</v>
      </c>
      <c r="AL285">
        <v>10</v>
      </c>
      <c r="AM285">
        <v>1</v>
      </c>
      <c r="AN285">
        <v>2014</v>
      </c>
      <c r="AO285" t="s">
        <v>62</v>
      </c>
      <c r="AP285">
        <v>3.5494312143141332E-2</v>
      </c>
      <c r="AQ285">
        <v>165533226.29792181</v>
      </c>
      <c r="AR285">
        <v>246618773.70207819</v>
      </c>
    </row>
    <row r="286" spans="1:44" x14ac:dyDescent="0.25">
      <c r="A286" s="1">
        <v>1381</v>
      </c>
      <c r="B286">
        <v>2860</v>
      </c>
      <c r="C286">
        <v>2860</v>
      </c>
      <c r="D286">
        <v>2860</v>
      </c>
      <c r="E286">
        <v>1285</v>
      </c>
      <c r="F286" t="s">
        <v>125</v>
      </c>
      <c r="G286" s="2">
        <v>41639</v>
      </c>
      <c r="H286" t="s">
        <v>126</v>
      </c>
      <c r="I286" t="s">
        <v>100</v>
      </c>
      <c r="J286" t="s">
        <v>46</v>
      </c>
      <c r="K286">
        <v>613109000</v>
      </c>
      <c r="L286">
        <v>474570000</v>
      </c>
      <c r="M286">
        <v>2376620000</v>
      </c>
      <c r="N286">
        <v>0.19968274271865091</v>
      </c>
      <c r="O286">
        <v>9.9540482355092955E-2</v>
      </c>
      <c r="P286">
        <v>4767608000</v>
      </c>
      <c r="Q286">
        <v>2013</v>
      </c>
      <c r="R286">
        <v>0</v>
      </c>
      <c r="S286">
        <v>0</v>
      </c>
      <c r="T286" t="s">
        <v>127</v>
      </c>
      <c r="U286">
        <v>0</v>
      </c>
      <c r="V286">
        <v>0</v>
      </c>
      <c r="W286">
        <v>0</v>
      </c>
      <c r="X286">
        <v>300000000</v>
      </c>
      <c r="Y286" t="s">
        <v>128</v>
      </c>
      <c r="Z286">
        <v>0</v>
      </c>
      <c r="AA286">
        <v>1</v>
      </c>
      <c r="AB286">
        <v>0</v>
      </c>
      <c r="AC286">
        <v>0</v>
      </c>
      <c r="AD286">
        <v>1</v>
      </c>
      <c r="AE286" t="s">
        <v>128</v>
      </c>
      <c r="AF286">
        <v>0</v>
      </c>
      <c r="AG286">
        <v>0</v>
      </c>
      <c r="AH286">
        <v>0</v>
      </c>
      <c r="AI286">
        <v>6</v>
      </c>
      <c r="AJ286">
        <v>1</v>
      </c>
      <c r="AK286">
        <v>5993537909.0909004</v>
      </c>
      <c r="AL286">
        <v>10</v>
      </c>
      <c r="AM286">
        <v>1</v>
      </c>
      <c r="AN286">
        <v>2013</v>
      </c>
      <c r="AO286" t="s">
        <v>62</v>
      </c>
      <c r="AP286">
        <v>3.5494312143141332E-2</v>
      </c>
      <c r="AQ286">
        <v>169222966.5281378</v>
      </c>
      <c r="AR286">
        <v>443886033.4718622</v>
      </c>
    </row>
    <row r="287" spans="1:44" x14ac:dyDescent="0.25">
      <c r="A287" s="1">
        <v>56</v>
      </c>
      <c r="B287">
        <v>2993</v>
      </c>
      <c r="C287">
        <v>2993</v>
      </c>
      <c r="D287">
        <v>2993</v>
      </c>
      <c r="E287">
        <v>6457</v>
      </c>
      <c r="F287">
        <v>4297020810</v>
      </c>
      <c r="G287" s="2">
        <v>45291</v>
      </c>
      <c r="H287" t="s">
        <v>56</v>
      </c>
      <c r="I287" t="s">
        <v>45</v>
      </c>
      <c r="J287" t="s">
        <v>46</v>
      </c>
      <c r="K287">
        <v>-6.14474437302687</v>
      </c>
      <c r="L287">
        <v>1.87440664107747</v>
      </c>
      <c r="M287">
        <v>411.63992368666101</v>
      </c>
      <c r="N287">
        <v>4.5535103210840701E-3</v>
      </c>
      <c r="O287">
        <v>9.5496651983938976E-4</v>
      </c>
      <c r="P287">
        <v>1962.79827840741</v>
      </c>
      <c r="Q287">
        <v>2023</v>
      </c>
      <c r="R287">
        <v>0</v>
      </c>
      <c r="S287">
        <v>0</v>
      </c>
      <c r="T287">
        <v>4297</v>
      </c>
      <c r="U287">
        <v>0</v>
      </c>
      <c r="V287">
        <v>0</v>
      </c>
      <c r="W287">
        <v>0</v>
      </c>
      <c r="X287">
        <v>0</v>
      </c>
      <c r="Y287" t="s">
        <v>57</v>
      </c>
      <c r="Z287">
        <v>0</v>
      </c>
      <c r="AA287">
        <v>1</v>
      </c>
      <c r="AB287">
        <v>0</v>
      </c>
      <c r="AC287">
        <v>0</v>
      </c>
      <c r="AD287">
        <v>0</v>
      </c>
      <c r="AE287" t="s">
        <v>58</v>
      </c>
      <c r="AF287">
        <v>0</v>
      </c>
      <c r="AG287">
        <v>0</v>
      </c>
      <c r="AH287">
        <v>0</v>
      </c>
      <c r="AI287">
        <v>9</v>
      </c>
      <c r="AJ287">
        <v>1</v>
      </c>
      <c r="AK287">
        <v>1807.7485060333599</v>
      </c>
      <c r="AL287">
        <v>4</v>
      </c>
      <c r="AM287">
        <v>1</v>
      </c>
      <c r="AN287">
        <v>2023</v>
      </c>
      <c r="AO287" t="s">
        <v>48</v>
      </c>
      <c r="AP287">
        <v>2.639308490294508E-2</v>
      </c>
      <c r="AQ287">
        <v>51.804301609361197</v>
      </c>
      <c r="AR287">
        <v>-57.949045982388071</v>
      </c>
    </row>
    <row r="288" spans="1:44" x14ac:dyDescent="0.25">
      <c r="A288" s="1">
        <v>57</v>
      </c>
      <c r="B288">
        <v>2994</v>
      </c>
      <c r="C288">
        <v>2994</v>
      </c>
      <c r="D288">
        <v>2994</v>
      </c>
      <c r="E288">
        <v>6458</v>
      </c>
      <c r="F288">
        <v>4297020810</v>
      </c>
      <c r="G288" s="2">
        <v>44926</v>
      </c>
      <c r="H288" t="s">
        <v>56</v>
      </c>
      <c r="I288" t="s">
        <v>45</v>
      </c>
      <c r="J288" t="s">
        <v>46</v>
      </c>
      <c r="K288">
        <v>26.914151922623301</v>
      </c>
      <c r="L288">
        <v>33.729094125973099</v>
      </c>
      <c r="M288">
        <v>431.30984312337802</v>
      </c>
      <c r="N288">
        <v>7.8201540409372827E-2</v>
      </c>
      <c r="O288">
        <v>1.591036543973293E-2</v>
      </c>
      <c r="P288">
        <v>2119.94465204058</v>
      </c>
      <c r="Q288">
        <v>2022</v>
      </c>
      <c r="R288">
        <v>0</v>
      </c>
      <c r="S288">
        <v>0</v>
      </c>
      <c r="T288">
        <v>4297</v>
      </c>
      <c r="U288">
        <v>0</v>
      </c>
      <c r="V288">
        <v>0</v>
      </c>
      <c r="W288">
        <v>0</v>
      </c>
      <c r="X288">
        <v>0</v>
      </c>
      <c r="Y288" t="s">
        <v>57</v>
      </c>
      <c r="Z288">
        <v>0</v>
      </c>
      <c r="AA288">
        <v>1</v>
      </c>
      <c r="AB288">
        <v>0</v>
      </c>
      <c r="AC288">
        <v>0</v>
      </c>
      <c r="AD288">
        <v>0</v>
      </c>
      <c r="AE288" t="s">
        <v>58</v>
      </c>
      <c r="AF288">
        <v>0</v>
      </c>
      <c r="AG288">
        <v>0</v>
      </c>
      <c r="AH288">
        <v>0</v>
      </c>
      <c r="AI288">
        <v>9</v>
      </c>
      <c r="AJ288">
        <v>1</v>
      </c>
      <c r="AK288">
        <v>1807.7485060333599</v>
      </c>
      <c r="AL288">
        <v>4</v>
      </c>
      <c r="AM288">
        <v>1</v>
      </c>
      <c r="AN288">
        <v>2022</v>
      </c>
      <c r="AO288" t="s">
        <v>48</v>
      </c>
      <c r="AP288">
        <v>2.639308490294508E-2</v>
      </c>
      <c r="AQ288">
        <v>55.951879190851393</v>
      </c>
      <c r="AR288">
        <v>-29.037727268228089</v>
      </c>
    </row>
    <row r="289" spans="1:44" x14ac:dyDescent="0.25">
      <c r="A289" s="1">
        <v>58</v>
      </c>
      <c r="B289">
        <v>2995</v>
      </c>
      <c r="C289">
        <v>2995</v>
      </c>
      <c r="D289">
        <v>2995</v>
      </c>
      <c r="E289">
        <v>6459</v>
      </c>
      <c r="F289">
        <v>4297020810</v>
      </c>
      <c r="G289" s="2">
        <v>44561</v>
      </c>
      <c r="H289" t="s">
        <v>56</v>
      </c>
      <c r="I289" t="s">
        <v>45</v>
      </c>
      <c r="J289" t="s">
        <v>46</v>
      </c>
      <c r="K289">
        <v>45.416740688520697</v>
      </c>
      <c r="L289">
        <v>42.464954764422501</v>
      </c>
      <c r="M289">
        <v>406.75851368816802</v>
      </c>
      <c r="N289">
        <v>0.10439844117676481</v>
      </c>
      <c r="O289">
        <v>2.0153780014943161E-2</v>
      </c>
      <c r="P289">
        <v>2107.0466549171701</v>
      </c>
      <c r="Q289">
        <v>2021</v>
      </c>
      <c r="R289">
        <v>0</v>
      </c>
      <c r="S289">
        <v>0</v>
      </c>
      <c r="T289">
        <v>4297</v>
      </c>
      <c r="U289">
        <v>0</v>
      </c>
      <c r="V289">
        <v>146713615</v>
      </c>
      <c r="W289">
        <v>0</v>
      </c>
      <c r="X289">
        <v>30601056</v>
      </c>
      <c r="Y289" t="s">
        <v>57</v>
      </c>
      <c r="Z289">
        <v>0</v>
      </c>
      <c r="AA289">
        <v>1</v>
      </c>
      <c r="AB289">
        <v>1</v>
      </c>
      <c r="AC289">
        <v>0</v>
      </c>
      <c r="AD289">
        <v>1</v>
      </c>
      <c r="AE289" t="s">
        <v>58</v>
      </c>
      <c r="AF289">
        <v>0</v>
      </c>
      <c r="AG289">
        <v>0</v>
      </c>
      <c r="AH289">
        <v>0</v>
      </c>
      <c r="AI289">
        <v>9</v>
      </c>
      <c r="AJ289">
        <v>1</v>
      </c>
      <c r="AK289">
        <v>1807.7485060333599</v>
      </c>
      <c r="AL289">
        <v>4</v>
      </c>
      <c r="AM289">
        <v>1</v>
      </c>
      <c r="AN289">
        <v>2021</v>
      </c>
      <c r="AO289" t="s">
        <v>48</v>
      </c>
      <c r="AP289">
        <v>2.639308490294508E-2</v>
      </c>
      <c r="AQ289">
        <v>55.611461257695296</v>
      </c>
      <c r="AR289">
        <v>-10.194720569174599</v>
      </c>
    </row>
    <row r="290" spans="1:44" x14ac:dyDescent="0.25">
      <c r="A290" s="1">
        <v>59</v>
      </c>
      <c r="B290">
        <v>2996</v>
      </c>
      <c r="C290">
        <v>2996</v>
      </c>
      <c r="D290">
        <v>2996</v>
      </c>
      <c r="E290">
        <v>6460</v>
      </c>
      <c r="F290">
        <v>4297020810</v>
      </c>
      <c r="G290" s="2">
        <v>44196</v>
      </c>
      <c r="H290" t="s">
        <v>56</v>
      </c>
      <c r="I290" t="s">
        <v>45</v>
      </c>
      <c r="J290" t="s">
        <v>46</v>
      </c>
      <c r="K290">
        <v>46.319432194434697</v>
      </c>
      <c r="L290">
        <v>38.761451215216603</v>
      </c>
      <c r="M290">
        <v>446.37949137020098</v>
      </c>
      <c r="N290">
        <v>8.6835197325564689E-2</v>
      </c>
      <c r="O290">
        <v>1.8768596538187299E-2</v>
      </c>
      <c r="P290">
        <v>2065.2290722085199</v>
      </c>
      <c r="Q290">
        <v>2020</v>
      </c>
      <c r="R290">
        <v>0</v>
      </c>
      <c r="S290">
        <v>0</v>
      </c>
      <c r="T290">
        <v>4297</v>
      </c>
      <c r="U290">
        <v>0</v>
      </c>
      <c r="V290">
        <v>234741784</v>
      </c>
      <c r="W290">
        <v>0</v>
      </c>
      <c r="X290">
        <v>0</v>
      </c>
      <c r="Y290" t="s">
        <v>57</v>
      </c>
      <c r="Z290">
        <v>0</v>
      </c>
      <c r="AA290">
        <v>1</v>
      </c>
      <c r="AB290">
        <v>1</v>
      </c>
      <c r="AC290">
        <v>0</v>
      </c>
      <c r="AD290">
        <v>0</v>
      </c>
      <c r="AE290" t="s">
        <v>58</v>
      </c>
      <c r="AF290">
        <v>0</v>
      </c>
      <c r="AG290">
        <v>0</v>
      </c>
      <c r="AH290">
        <v>0</v>
      </c>
      <c r="AI290">
        <v>9</v>
      </c>
      <c r="AJ290">
        <v>1</v>
      </c>
      <c r="AK290">
        <v>1807.7485060333599</v>
      </c>
      <c r="AL290">
        <v>4</v>
      </c>
      <c r="AM290">
        <v>1</v>
      </c>
      <c r="AN290">
        <v>2020</v>
      </c>
      <c r="AO290" t="s">
        <v>48</v>
      </c>
      <c r="AP290">
        <v>2.639308490294508E-2</v>
      </c>
      <c r="AQ290">
        <v>54.507766246829974</v>
      </c>
      <c r="AR290">
        <v>-8.1883340523952697</v>
      </c>
    </row>
    <row r="291" spans="1:44" x14ac:dyDescent="0.25">
      <c r="A291" s="1">
        <v>110</v>
      </c>
      <c r="B291">
        <v>2997</v>
      </c>
      <c r="C291">
        <v>2997</v>
      </c>
      <c r="D291">
        <v>2997</v>
      </c>
      <c r="E291">
        <v>6461</v>
      </c>
      <c r="F291">
        <v>4297020810</v>
      </c>
      <c r="G291" s="2">
        <v>43830</v>
      </c>
      <c r="H291" t="s">
        <v>56</v>
      </c>
      <c r="I291" t="s">
        <v>45</v>
      </c>
      <c r="J291" t="s">
        <v>46</v>
      </c>
      <c r="K291">
        <v>51.955174983366597</v>
      </c>
      <c r="L291">
        <v>43.376396540252799</v>
      </c>
      <c r="M291">
        <v>405.06536926147697</v>
      </c>
      <c r="N291">
        <v>0.1070849295740524</v>
      </c>
      <c r="O291">
        <v>2.023841028334309E-2</v>
      </c>
      <c r="P291">
        <v>2143.2709354624099</v>
      </c>
      <c r="Q291">
        <v>2019</v>
      </c>
      <c r="R291">
        <v>0</v>
      </c>
      <c r="S291">
        <v>0</v>
      </c>
      <c r="T291">
        <v>4297</v>
      </c>
      <c r="U291">
        <v>0</v>
      </c>
      <c r="V291">
        <v>146713615</v>
      </c>
      <c r="W291">
        <v>0</v>
      </c>
      <c r="X291">
        <v>0</v>
      </c>
      <c r="Y291" t="s">
        <v>57</v>
      </c>
      <c r="Z291">
        <v>0</v>
      </c>
      <c r="AA291">
        <v>1</v>
      </c>
      <c r="AB291">
        <v>1</v>
      </c>
      <c r="AC291">
        <v>0</v>
      </c>
      <c r="AD291">
        <v>0</v>
      </c>
      <c r="AE291" t="s">
        <v>58</v>
      </c>
      <c r="AF291">
        <v>0</v>
      </c>
      <c r="AG291">
        <v>0</v>
      </c>
      <c r="AH291">
        <v>0</v>
      </c>
      <c r="AI291">
        <v>9</v>
      </c>
      <c r="AJ291">
        <v>1</v>
      </c>
      <c r="AK291">
        <v>1807.7485060333599</v>
      </c>
      <c r="AL291">
        <v>4</v>
      </c>
      <c r="AM291">
        <v>1</v>
      </c>
      <c r="AN291">
        <v>2019</v>
      </c>
      <c r="AO291" t="s">
        <v>59</v>
      </c>
      <c r="AP291">
        <v>2.6740380212775649E-2</v>
      </c>
      <c r="AQ291">
        <v>57.311879713256189</v>
      </c>
      <c r="AR291">
        <v>-5.3567047298895929</v>
      </c>
    </row>
    <row r="292" spans="1:44" x14ac:dyDescent="0.25">
      <c r="A292" s="1">
        <v>111</v>
      </c>
      <c r="B292">
        <v>2998</v>
      </c>
      <c r="C292">
        <v>2998</v>
      </c>
      <c r="D292">
        <v>2998</v>
      </c>
      <c r="E292">
        <v>6462</v>
      </c>
      <c r="F292">
        <v>4297020810</v>
      </c>
      <c r="G292" s="2">
        <v>43465</v>
      </c>
      <c r="H292" t="s">
        <v>56</v>
      </c>
      <c r="I292" t="s">
        <v>45</v>
      </c>
      <c r="J292" t="s">
        <v>46</v>
      </c>
      <c r="K292">
        <v>48.940008659883098</v>
      </c>
      <c r="L292">
        <v>42.921020422890997</v>
      </c>
      <c r="M292">
        <v>405.71359890308202</v>
      </c>
      <c r="N292">
        <v>0.1057914266096466</v>
      </c>
      <c r="O292">
        <v>2.0831430067446258E-2</v>
      </c>
      <c r="P292">
        <v>2060.3972115176398</v>
      </c>
      <c r="Q292">
        <v>2018</v>
      </c>
      <c r="R292">
        <v>0</v>
      </c>
      <c r="S292">
        <v>0</v>
      </c>
      <c r="T292">
        <v>4297</v>
      </c>
      <c r="U292">
        <v>0</v>
      </c>
      <c r="V292">
        <v>0</v>
      </c>
      <c r="W292">
        <v>0</v>
      </c>
      <c r="X292">
        <v>0</v>
      </c>
      <c r="Y292" t="s">
        <v>57</v>
      </c>
      <c r="Z292">
        <v>0</v>
      </c>
      <c r="AA292">
        <v>1</v>
      </c>
      <c r="AB292">
        <v>0</v>
      </c>
      <c r="AC292">
        <v>0</v>
      </c>
      <c r="AD292">
        <v>0</v>
      </c>
      <c r="AE292" t="s">
        <v>58</v>
      </c>
      <c r="AF292">
        <v>0</v>
      </c>
      <c r="AG292">
        <v>0</v>
      </c>
      <c r="AH292">
        <v>0</v>
      </c>
      <c r="AI292">
        <v>9</v>
      </c>
      <c r="AJ292">
        <v>1</v>
      </c>
      <c r="AK292">
        <v>1807.7485060333599</v>
      </c>
      <c r="AL292">
        <v>4</v>
      </c>
      <c r="AM292">
        <v>1</v>
      </c>
      <c r="AN292">
        <v>2018</v>
      </c>
      <c r="AO292" t="s">
        <v>59</v>
      </c>
      <c r="AP292">
        <v>2.6740380212775649E-2</v>
      </c>
      <c r="AQ292">
        <v>55.095804825324429</v>
      </c>
      <c r="AR292">
        <v>-6.1557961654413296</v>
      </c>
    </row>
    <row r="293" spans="1:44" x14ac:dyDescent="0.25">
      <c r="A293" s="1">
        <v>112</v>
      </c>
      <c r="B293">
        <v>2999</v>
      </c>
      <c r="C293">
        <v>2999</v>
      </c>
      <c r="D293">
        <v>2999</v>
      </c>
      <c r="E293">
        <v>6463</v>
      </c>
      <c r="F293">
        <v>4297020810</v>
      </c>
      <c r="G293" s="2">
        <v>43100</v>
      </c>
      <c r="H293" t="s">
        <v>56</v>
      </c>
      <c r="I293" t="s">
        <v>45</v>
      </c>
      <c r="J293" t="s">
        <v>46</v>
      </c>
      <c r="K293">
        <v>45.391037175628398</v>
      </c>
      <c r="L293">
        <v>41.192792646221399</v>
      </c>
      <c r="M293">
        <v>436.07856991783899</v>
      </c>
      <c r="N293">
        <v>9.4461859600169021E-2</v>
      </c>
      <c r="O293">
        <v>2.186813428354788E-2</v>
      </c>
      <c r="P293">
        <v>1883.69030993248</v>
      </c>
      <c r="Q293">
        <v>2017</v>
      </c>
      <c r="R293">
        <v>0</v>
      </c>
      <c r="S293">
        <v>0</v>
      </c>
      <c r="T293">
        <v>4297</v>
      </c>
      <c r="U293">
        <v>0</v>
      </c>
      <c r="V293">
        <v>117370892</v>
      </c>
      <c r="W293">
        <v>0</v>
      </c>
      <c r="X293">
        <v>0</v>
      </c>
      <c r="Y293" t="s">
        <v>57</v>
      </c>
      <c r="Z293">
        <v>0</v>
      </c>
      <c r="AA293">
        <v>1</v>
      </c>
      <c r="AB293">
        <v>1</v>
      </c>
      <c r="AC293">
        <v>0</v>
      </c>
      <c r="AD293">
        <v>0</v>
      </c>
      <c r="AE293" t="s">
        <v>58</v>
      </c>
      <c r="AF293">
        <v>0</v>
      </c>
      <c r="AG293">
        <v>0</v>
      </c>
      <c r="AH293">
        <v>0</v>
      </c>
      <c r="AI293">
        <v>9</v>
      </c>
      <c r="AJ293">
        <v>1</v>
      </c>
      <c r="AK293">
        <v>1807.7485060333599</v>
      </c>
      <c r="AL293">
        <v>4</v>
      </c>
      <c r="AM293">
        <v>1</v>
      </c>
      <c r="AN293">
        <v>2017</v>
      </c>
      <c r="AO293" t="s">
        <v>59</v>
      </c>
      <c r="AP293">
        <v>2.6740380212775649E-2</v>
      </c>
      <c r="AQ293">
        <v>50.370595090715717</v>
      </c>
      <c r="AR293">
        <v>-4.9795579150873266</v>
      </c>
    </row>
    <row r="294" spans="1:44" x14ac:dyDescent="0.25">
      <c r="A294" s="1">
        <v>174</v>
      </c>
      <c r="B294">
        <v>3000</v>
      </c>
      <c r="C294">
        <v>3000</v>
      </c>
      <c r="D294">
        <v>3000</v>
      </c>
      <c r="E294">
        <v>6464</v>
      </c>
      <c r="F294">
        <v>4297020810</v>
      </c>
      <c r="G294" s="2">
        <v>42735</v>
      </c>
      <c r="H294" t="s">
        <v>56</v>
      </c>
      <c r="I294" t="s">
        <v>45</v>
      </c>
      <c r="J294" t="s">
        <v>46</v>
      </c>
      <c r="K294">
        <v>37.225695886685898</v>
      </c>
      <c r="L294">
        <v>33.3933123160364</v>
      </c>
      <c r="M294">
        <v>373.47135173093898</v>
      </c>
      <c r="N294">
        <v>8.9413316874955476E-2</v>
      </c>
      <c r="O294">
        <v>2.2326191055503809E-2</v>
      </c>
      <c r="P294">
        <v>1495.70127000254</v>
      </c>
      <c r="Q294">
        <v>2016</v>
      </c>
      <c r="R294">
        <v>0</v>
      </c>
      <c r="S294">
        <v>0</v>
      </c>
      <c r="T294">
        <v>4297</v>
      </c>
      <c r="U294">
        <v>0</v>
      </c>
      <c r="V294">
        <v>176056338</v>
      </c>
      <c r="W294">
        <v>0</v>
      </c>
      <c r="X294">
        <v>0</v>
      </c>
      <c r="Y294" t="s">
        <v>57</v>
      </c>
      <c r="Z294">
        <v>0</v>
      </c>
      <c r="AA294">
        <v>1</v>
      </c>
      <c r="AB294">
        <v>1</v>
      </c>
      <c r="AC294">
        <v>0</v>
      </c>
      <c r="AD294">
        <v>0</v>
      </c>
      <c r="AE294" t="s">
        <v>58</v>
      </c>
      <c r="AF294">
        <v>0</v>
      </c>
      <c r="AG294">
        <v>0</v>
      </c>
      <c r="AH294">
        <v>0</v>
      </c>
      <c r="AI294">
        <v>9</v>
      </c>
      <c r="AJ294">
        <v>1</v>
      </c>
      <c r="AK294">
        <v>1807.7485060333599</v>
      </c>
      <c r="AL294">
        <v>4</v>
      </c>
      <c r="AM294">
        <v>1</v>
      </c>
      <c r="AN294">
        <v>2016</v>
      </c>
      <c r="AO294" t="s">
        <v>62</v>
      </c>
      <c r="AP294">
        <v>3.8046758435701003E-2</v>
      </c>
      <c r="AQ294">
        <v>56.90658491175784</v>
      </c>
      <c r="AR294">
        <v>-19.680889025071941</v>
      </c>
    </row>
    <row r="295" spans="1:44" x14ac:dyDescent="0.25">
      <c r="A295" s="1">
        <v>175</v>
      </c>
      <c r="B295">
        <v>3001</v>
      </c>
      <c r="C295">
        <v>3001</v>
      </c>
      <c r="D295">
        <v>3001</v>
      </c>
      <c r="E295">
        <v>6465</v>
      </c>
      <c r="F295">
        <v>4297020810</v>
      </c>
      <c r="G295" s="2">
        <v>42369</v>
      </c>
      <c r="H295" t="s">
        <v>56</v>
      </c>
      <c r="I295" t="s">
        <v>45</v>
      </c>
      <c r="J295" t="s">
        <v>46</v>
      </c>
      <c r="K295">
        <v>29.142938475665801</v>
      </c>
      <c r="L295">
        <v>28.697450024722801</v>
      </c>
      <c r="M295">
        <v>334.771701631702</v>
      </c>
      <c r="N295">
        <v>8.5722448716093122E-2</v>
      </c>
      <c r="O295">
        <v>2.123719822007241E-2</v>
      </c>
      <c r="P295">
        <v>1351.28229850957</v>
      </c>
      <c r="Q295">
        <v>2015</v>
      </c>
      <c r="R295">
        <v>0</v>
      </c>
      <c r="S295">
        <v>0</v>
      </c>
      <c r="T295">
        <v>4297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9</v>
      </c>
      <c r="AJ295">
        <v>1</v>
      </c>
      <c r="AK295">
        <v>1807.7485060333599</v>
      </c>
      <c r="AL295">
        <v>4</v>
      </c>
      <c r="AM295">
        <v>1</v>
      </c>
      <c r="AN295">
        <v>2015</v>
      </c>
      <c r="AO295" t="s">
        <v>62</v>
      </c>
      <c r="AP295">
        <v>3.8046758435701003E-2</v>
      </c>
      <c r="AQ295">
        <v>51.411911189832423</v>
      </c>
      <c r="AR295">
        <v>-22.268972714166619</v>
      </c>
    </row>
    <row r="296" spans="1:44" x14ac:dyDescent="0.25">
      <c r="A296" s="1">
        <v>176</v>
      </c>
      <c r="B296">
        <v>3002</v>
      </c>
      <c r="C296">
        <v>3002</v>
      </c>
      <c r="D296">
        <v>3002</v>
      </c>
      <c r="E296">
        <v>6466</v>
      </c>
      <c r="F296">
        <v>4297020810</v>
      </c>
      <c r="G296" s="2">
        <v>42004</v>
      </c>
      <c r="H296" t="s">
        <v>56</v>
      </c>
      <c r="I296" t="s">
        <v>45</v>
      </c>
      <c r="J296" t="s">
        <v>46</v>
      </c>
      <c r="K296">
        <v>46.386022427440601</v>
      </c>
      <c r="L296">
        <v>43.019523416886599</v>
      </c>
      <c r="M296">
        <v>367.03225758575201</v>
      </c>
      <c r="N296">
        <v>0.1172091077221889</v>
      </c>
      <c r="O296">
        <v>3.245951702545604E-2</v>
      </c>
      <c r="P296">
        <v>1325.3285125329801</v>
      </c>
      <c r="Q296">
        <v>2014</v>
      </c>
      <c r="R296">
        <v>0</v>
      </c>
      <c r="S296">
        <v>0</v>
      </c>
      <c r="T296">
        <v>4297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9</v>
      </c>
      <c r="AJ296">
        <v>1</v>
      </c>
      <c r="AK296">
        <v>1807.7485060333599</v>
      </c>
      <c r="AL296">
        <v>4</v>
      </c>
      <c r="AM296">
        <v>1</v>
      </c>
      <c r="AN296">
        <v>2014</v>
      </c>
      <c r="AO296" t="s">
        <v>62</v>
      </c>
      <c r="AP296">
        <v>3.8046758435701003E-2</v>
      </c>
      <c r="AQ296">
        <v>50.424453764289233</v>
      </c>
      <c r="AR296">
        <v>-4.0384313368486247</v>
      </c>
    </row>
    <row r="297" spans="1:44" x14ac:dyDescent="0.25">
      <c r="A297" s="1">
        <v>177</v>
      </c>
      <c r="B297">
        <v>3003</v>
      </c>
      <c r="C297">
        <v>3003</v>
      </c>
      <c r="D297">
        <v>3003</v>
      </c>
      <c r="E297">
        <v>6467</v>
      </c>
      <c r="F297">
        <v>4297020810</v>
      </c>
      <c r="G297" s="2">
        <v>41639</v>
      </c>
      <c r="H297" t="s">
        <v>56</v>
      </c>
      <c r="I297" t="s">
        <v>45</v>
      </c>
      <c r="J297" t="s">
        <v>46</v>
      </c>
      <c r="K297">
        <v>56.3647382448125</v>
      </c>
      <c r="L297">
        <v>46.740633923472302</v>
      </c>
      <c r="M297">
        <v>387.48332000761502</v>
      </c>
      <c r="N297">
        <v>0.1206261831413898</v>
      </c>
      <c r="O297">
        <v>3.4103699900625263E-2</v>
      </c>
      <c r="P297">
        <v>1370.54437083571</v>
      </c>
      <c r="Q297">
        <v>2013</v>
      </c>
      <c r="R297">
        <v>0</v>
      </c>
      <c r="S297">
        <v>0</v>
      </c>
      <c r="T297">
        <v>4297</v>
      </c>
      <c r="U297">
        <v>0</v>
      </c>
      <c r="V297">
        <v>0</v>
      </c>
      <c r="W297">
        <v>0</v>
      </c>
      <c r="X297">
        <v>250000000</v>
      </c>
      <c r="Y297" t="s">
        <v>57</v>
      </c>
      <c r="Z297">
        <v>0</v>
      </c>
      <c r="AA297">
        <v>1</v>
      </c>
      <c r="AB297">
        <v>0</v>
      </c>
      <c r="AC297">
        <v>0</v>
      </c>
      <c r="AD297">
        <v>1</v>
      </c>
      <c r="AE297" t="s">
        <v>58</v>
      </c>
      <c r="AF297">
        <v>0</v>
      </c>
      <c r="AG297">
        <v>0</v>
      </c>
      <c r="AH297">
        <v>0</v>
      </c>
      <c r="AI297">
        <v>9</v>
      </c>
      <c r="AJ297">
        <v>1</v>
      </c>
      <c r="AK297">
        <v>1807.7485060333599</v>
      </c>
      <c r="AL297">
        <v>4</v>
      </c>
      <c r="AM297">
        <v>1</v>
      </c>
      <c r="AN297">
        <v>2013</v>
      </c>
      <c r="AO297" t="s">
        <v>62</v>
      </c>
      <c r="AP297">
        <v>3.8046758435701003E-2</v>
      </c>
      <c r="AQ297">
        <v>52.144770602596083</v>
      </c>
      <c r="AR297">
        <v>4.2199676422164254</v>
      </c>
    </row>
  </sheetData>
  <sortState xmlns:xlrd2="http://schemas.microsoft.com/office/spreadsheetml/2017/richdata2" ref="A2:AR297">
    <sortCondition ref="H1:H29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Mendez</cp:lastModifiedBy>
  <dcterms:created xsi:type="dcterms:W3CDTF">2025-01-16T13:08:55Z</dcterms:created>
  <dcterms:modified xsi:type="dcterms:W3CDTF">2025-03-06T00:22:58Z</dcterms:modified>
</cp:coreProperties>
</file>